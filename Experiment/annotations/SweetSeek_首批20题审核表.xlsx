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004b66e9ff4c43" /></Relationships>
</file>

<file path=xl/workbook.xml><?xml version="1.0" encoding="utf-8"?>
<x:workbook xmlns:x="http://schemas.openxmlformats.org/spreadsheetml/2006/main">
  <x:sheets>
    <x:sheet xmlns:r="http://schemas.openxmlformats.org/officeDocument/2006/relationships" name="候选题审核" sheetId="1" r:id="Rebb63cc82158417e"/>
    <x:sheet xmlns:r="http://schemas.openxmlformats.org/officeDocument/2006/relationships" name="证据来源" sheetId="2" r:id="R6dd4baeeb5f9487b"/>
    <x:sheet xmlns:r="http://schemas.openxmlformats.org/officeDocument/2006/relationships" name="进度汇总" sheetId="3" r:id="R530fd7ad3f154cb3"/>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Arial"/>
    </x:font>
    <x:font>
      <x:sz val="10"/>
      <x:color rgb="FF24444F"/>
      <x:name val="Arial"/>
    </x:font>
    <x:font>
      <x:sz val="10"/>
      <x:color rgb="FF1F2937"/>
      <x:name val="Arial"/>
    </x:font>
    <x:font>
      <x:b/>
      <x:sz val="10"/>
      <x:color rgb="FFFFFFFF"/>
      <x:name val="Arial"/>
    </x:font>
    <x:font>
      <x:sz val="11"/>
      <x:color rgb="FF1F2937"/>
      <x:name val="Arial"/>
    </x:font>
    <x:font>
      <x:b/>
      <x:sz val="11"/>
      <x:color rgb="FFFFFFFF"/>
      <x:name val="Arial"/>
    </x:font>
    <x:font>
      <x:b/>
      <x:sz val="12"/>
      <x:color rgb="FF0F766E"/>
      <x:name val="Arial"/>
    </x:font>
  </x:fonts>
  <x:fills count="13">
    <x:fill>
      <x:patternFill patternType="none"/>
    </x:fill>
    <x:fill>
      <x:patternFill patternType="gray125"/>
    </x:fill>
    <x:fill>
      <x:patternFill patternType="solid">
        <x:fgColor rgb="FF123B4A"/>
      </x:patternFill>
    </x:fill>
    <x:fill>
      <x:patternFill patternType="solid">
        <x:fgColor rgb="FFE8F1F2"/>
      </x:patternFill>
    </x:fill>
    <x:fill>
      <x:patternFill patternType="solid">
        <x:fgColor rgb="FF0F766E"/>
      </x:patternFill>
    </x:fill>
    <x:fill>
      <x:patternFill patternType="solid">
        <x:fgColor rgb="FFFFF7D6"/>
      </x:patternFill>
    </x:fill>
    <x:fill>
      <x:patternFill patternType="solid">
        <x:fgColor rgb="FF2563EB"/>
      </x:patternFill>
    </x:fill>
    <x:fill>
      <x:patternFill patternType="solid">
        <x:fgColor rgb="FFEAF2FF"/>
      </x:patternFill>
    </x:fill>
    <x:fill>
      <x:patternFill patternType="solid">
        <x:fgColor rgb="FFD97706"/>
      </x:patternFill>
    </x:fill>
    <x:fill>
      <x:patternFill patternType="solid">
        <x:fgColor rgb="FF7C3AED"/>
      </x:patternFill>
    </x:fill>
    <x:fill>
      <x:patternFill patternType="solid">
        <x:fgColor rgb="FF475569"/>
      </x:patternFill>
    </x:fill>
    <x:fill>
      <x:patternFill patternType="solid">
        <x:fgColor rgb="FFF1F5F9"/>
      </x:patternFill>
    </x:fill>
    <x:fill>
      <x:patternFill patternType="solid">
        <x:fgColor rgb="FFB45309"/>
      </x:patternFill>
    </x:fill>
  </x:fills>
  <x:borders count="3">
    <x:border>
      <x:left/>
      <x:right/>
      <x:top/>
      <x:bottom/>
      <x:diagonal/>
    </x:border>
    <x:border>
      <x:left style="thin">
        <x:color rgb="FFD7E0E3"/>
      </x:left>
      <x:right style="thin">
        <x:color rgb="FFD7E0E3"/>
      </x:right>
      <x:top style="thin">
        <x:color rgb="FFD7E0E3"/>
      </x:top>
      <x:bottom style="thin">
        <x:color rgb="FFD7E0E3"/>
      </x:bottom>
      <x:diagonal/>
    </x:border>
    <x:border>
      <x:left style="thin">
        <x:color rgb="FFCBD5E1"/>
      </x:left>
      <x:right style="thin">
        <x:color rgb="FFCBD5E1"/>
      </x:right>
      <x:top style="thin">
        <x:color rgb="FFCBD5E1"/>
      </x:top>
      <x:bottom style="thin">
        <x:color rgb="FFCBD5E1"/>
      </x:bottom>
      <x:diagonal/>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0" borderId="0" xfId="0" applyNumberFormat="1" applyFont="1" applyFill="1" applyBorder="1"/>
    <x:xf numFmtId="0" fontId="3"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3"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3" fillId="7" borderId="1" xfId="0" applyNumberFormat="1" applyFont="1" applyFill="1" applyBorder="1" applyAlignment="1">
      <x:alignment vertical="top" wrapText="1"/>
    </x:xf>
    <x:xf numFmtId="0" fontId="5" fillId="0" borderId="0" xfId="0" applyNumberFormat="1" applyFont="1" applyFill="1" applyBorder="1"/>
    <x:xf numFmtId="0" fontId="5" fillId="4" borderId="0" xfId="0" applyNumberFormat="1" applyFont="1" applyFill="1" applyBorder="1"/>
    <x:xf numFmtId="0" fontId="6" fillId="4" borderId="0" xfId="0" applyNumberFormat="1" applyFont="1" applyFill="1" applyBorder="1"/>
    <x:xf numFmtId="0" fontId="5" fillId="6" borderId="0" xfId="0" applyNumberFormat="1" applyFont="1" applyFill="1" applyBorder="1"/>
    <x:xf numFmtId="0" fontId="6" fillId="6" borderId="0" xfId="0" applyNumberFormat="1" applyFont="1" applyFill="1" applyBorder="1"/>
    <x:xf numFmtId="0" fontId="5" fillId="8" borderId="0" xfId="0" applyNumberFormat="1" applyFont="1" applyFill="1" applyBorder="1"/>
    <x:xf numFmtId="0" fontId="6" fillId="8" borderId="0" xfId="0" applyNumberFormat="1" applyFont="1" applyFill="1" applyBorder="1"/>
    <x:xf numFmtId="0" fontId="5" fillId="9" borderId="0" xfId="0" applyNumberFormat="1" applyFont="1" applyFill="1" applyBorder="1"/>
    <x:xf numFmtId="0" fontId="6" fillId="9" borderId="0" xfId="0" applyNumberFormat="1" applyFont="1" applyFill="1" applyBorder="1"/>
    <x:xf numFmtId="0" fontId="5" fillId="10" borderId="0" xfId="0" applyNumberFormat="1" applyFont="1" applyFill="1" applyBorder="1"/>
    <x:xf numFmtId="0" fontId="6" fillId="10" borderId="0" xfId="0" applyNumberFormat="1" applyFont="1" applyFill="1" applyBorder="1"/>
    <x:xf numFmtId="0" fontId="5" fillId="0" borderId="1" xfId="0" applyNumberFormat="1" applyFont="1" applyFill="1" applyBorder="1"/>
    <x:xf numFmtId="0" fontId="5" fillId="11" borderId="0" xfId="0" applyNumberFormat="1" applyFont="1" applyFill="1" applyBorder="1"/>
    <x:xf numFmtId="0" fontId="5" fillId="11" borderId="2" xfId="0" applyNumberFormat="1" applyFont="1" applyFill="1" applyBorder="1"/>
    <x:xf numFmtId="0" fontId="5" fillId="11" borderId="2" xfId="0" applyNumberFormat="1" applyFont="1" applyFill="1" applyBorder="1" applyAlignment="1">
      <x:alignment wrapText="1"/>
    </x:xf>
    <x:xf numFmtId="0" fontId="5" fillId="11" borderId="2" xfId="0" applyNumberFormat="1" applyFont="1" applyFill="1" applyBorder="1" applyAlignment="1">
      <x:alignment vertical="top" wrapText="1"/>
    </x:xf>
    <x:xf numFmtId="0" fontId="7" fillId="0" borderId="1" xfId="0" applyNumberFormat="1" applyFont="1" applyFill="1" applyBorder="1"/>
    <x:xf numFmtId="0" fontId="7" fillId="0" borderId="0" xfId="0" applyNumberFormat="1" applyFont="1" applyFill="1" applyBorder="1"/>
    <x:xf numFmtId="0" fontId="7" fillId="9" borderId="0" xfId="0" applyNumberFormat="1" applyFont="1" applyFill="1" applyBorder="1"/>
    <x:xf numFmtId="0" fontId="0" fillId="12" borderId="0" xfId="0" applyNumberFormat="1" applyFont="1" applyFill="1" applyBorder="1"/>
    <x:xf numFmtId="0" fontId="6" fillId="1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605da3f7d34133" /><Relationship Type="http://schemas.openxmlformats.org/officeDocument/2006/relationships/theme" Target="/xl/theme/theme1.xml" Id="Rb5e652f0b7614653" /><Relationship Type="http://schemas.openxmlformats.org/officeDocument/2006/relationships/sharedStrings" Target="/xl/sharedStrings.xml" Id="R5c05effe23ef4047" /><Relationship Type="http://schemas.openxmlformats.org/officeDocument/2006/relationships/worksheet" Target="/xl/worksheets/sheet1.xml" Id="Rebb63cc82158417e" /><Relationship Type="http://schemas.openxmlformats.org/officeDocument/2006/relationships/worksheet" Target="/xl/worksheets/sheet2.xml" Id="R6dd4baeeb5f9487b" /><Relationship Type="http://schemas.openxmlformats.org/officeDocument/2006/relationships/worksheet" Target="/xl/worksheets/sheet3.xml" Id="R530fd7ad3f154cb3" /></Relationships>
</file>

<file path=xl/tables/table1.xml><?xml version="1.0" encoding="utf-8"?>
<x:table xmlns:x="http://schemas.openxmlformats.org/spreadsheetml/2006/main" id="1" name="CandidateQuestions" displayName="CandidateQuestions" ref="A4:M24" headerRowCount="1" totalsRowCount="0" totalsRowShown="0">
  <x:tableColumns count="13">
    <x:tableColumn id="1" name="题号"/>
    <x:tableColumn id="2" name="问题"/>
    <x:tableColumn id="3" name="题型"/>
    <x:tableColumn id="4" name="主题"/>
    <x:tableColumn id="5" name="难度"/>
    <x:tableColumn id="6" name="参考答案"/>
    <x:tableColumn id="7" name="原子答案点"/>
    <x:tableColumn id="8" name="禁止性表述"/>
    <x:tableColumn id="9" name="应拒答"/>
    <x:tableColumn id="10" name="来源方式"/>
    <x:tableColumn id="11" name="候选状态"/>
    <x:tableColumn id="12" name="人工审核状态"/>
    <x:tableColumn id="13" name="审核备注"/>
  </x:tableColumns>
  <x:tableStyleInfo name="TableStyleMedium2" showFirstColumn="0" showLastColumn="0" showRowStripes="1" showColumnStripes="0"/>
</x:table>
</file>

<file path=xl/tables/table2.xml><?xml version="1.0" encoding="utf-8"?>
<x:table xmlns:x="http://schemas.openxmlformats.org/spreadsheetml/2006/main" id="2" name="EvidenceSources" displayName="EvidenceSources" ref="A4:N29" headerRowCount="1" totalsRowCount="0" totalsRowShown="0">
  <x:tableColumns count="14">
    <x:tableColumn id="1" name="证据编号"/>
    <x:tableColumn id="2" name="题号"/>
    <x:tableColumn id="3" name="文章名"/>
    <x:tableColumn id="4" name="作者/年份"/>
    <x:tableColumn id="5" name="DOI"/>
    <x:tableColumn id="6" name="PDF页码"/>
    <x:tableColumn id="7" name="章节"/>
    <x:tableColumn id="8" name="KB命中文本"/>
    <x:tableColumn id="9" name="PDF核准原文"/>
    <x:tableColumn id="10" name="支持的答案点"/>
    <x:tableColumn id="11" name="证据关系"/>
    <x:tableColumn id="12" name="PDF路径"/>
    <x:tableColumn id="13" name="人工核对状态"/>
    <x:tableColumn id="14" name="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f2738770e774466" /></Relationships>
</file>

<file path=xl/worksheets/_rels/sheet2.xml.rels>&#65279;<?xml version="1.0" encoding="utf-8"?><Relationships xmlns="http://schemas.openxmlformats.org/package/2006/relationships"><Relationship Type="http://schemas.openxmlformats.org/officeDocument/2006/relationships/table" Target="/xl/tables/table2.xml" Id="Rd8f7181904764016" /></Relationships>
</file>

<file path=xl/worksheets/sheet1.xml><?xml version="1.0" encoding="utf-8"?>
<x:worksheet xmlns:x="http://schemas.openxmlformats.org/spreadsheetml/2006/main">
  <x:sheetPr>
    <x:tabColor rgb="FF0F766E"/>
  </x:sheetPr>
  <x:sheetViews>
    <x:sheetView showGridLines="0" workbookViewId="0">
      <x:pane xSplit="1" ySplit="4" topLeftCell="B5" activePane="bottomRight" state="frozen"/>
    </x:sheetView>
  </x:sheetViews>
  <x:sheetFormatPr defaultRowHeight="15"/>
  <x:cols>
    <x:col min="1" max="1" width="10" hidden="0" customWidth="1"/>
    <x:col min="2" max="2" width="34" hidden="0" customWidth="1"/>
    <x:col min="3" max="3" width="18" hidden="0" customWidth="1"/>
    <x:col min="4" max="4" width="24" hidden="0" customWidth="1"/>
    <x:col min="5" max="5" width="10" hidden="0" customWidth="1"/>
    <x:col min="6" max="6" width="48" hidden="0" customWidth="1"/>
    <x:col min="7" max="7" width="44" hidden="0" customWidth="1"/>
    <x:col min="8" max="8" width="42" hidden="0" customWidth="1"/>
    <x:col min="9" max="9" width="10" hidden="0" customWidth="1"/>
    <x:col min="10" max="10" width="26" hidden="0" customWidth="1"/>
    <x:col min="11" max="11" width="16" hidden="0" customWidth="1"/>
    <x:col min="12" max="12" width="16" hidden="0" customWidth="1"/>
    <x:col min="13" max="13" width="28" hidden="0" customWidth="1"/>
  </x:cols>
  <x:sheetData>
    <x:row r="1" ht="30" customHeight="1">
      <x:c r="A1" s="3" t="str">
        <x:v>SweetSeek 首批20题黄金测试集候选审核表</x:v>
      </x:c>
      <x:c r="B1" s="3"/>
      <x:c r="C1" s="3"/>
      <x:c r="D1" s="3"/>
      <x:c r="E1" s="3"/>
      <x:c r="F1" s="3"/>
      <x:c r="G1" s="3"/>
      <x:c r="H1" s="3"/>
      <x:c r="I1" s="3"/>
      <x:c r="J1" s="3"/>
      <x:c r="K1" s="3"/>
      <x:c r="L1" s="3"/>
      <x:c r="M1" s="3"/>
    </x:row>
    <x:row r="2" ht="34" customHeight="1">
      <x:c r="A2" s="7" t="str">
        <x:v>重要：本表为AI辅助生成的候选题，不是已冻结黄金集。问题文本已隐藏作者与年份，来源信息仅保留在证据表。请逐题人工审核；审核通过前不得运行SweetSeek或任何对比模型。研究范围仅限甜味领域。</x:v>
      </x:c>
      <x:c r="B2" s="7"/>
      <x:c r="C2" s="7"/>
      <x:c r="D2" s="7"/>
      <x:c r="E2" s="7"/>
      <x:c r="F2" s="7"/>
      <x:c r="G2" s="7"/>
      <x:c r="H2" s="7"/>
      <x:c r="I2" s="7"/>
      <x:c r="J2" s="7"/>
      <x:c r="K2" s="7"/>
      <x:c r="L2" s="7"/>
      <x:c r="M2" s="7"/>
    </x:row>
    <x:row r="4">
      <x:c r="A4" s="12" t="str">
        <x:v>题号</x:v>
      </x:c>
      <x:c r="B4" s="12" t="str">
        <x:v>问题</x:v>
      </x:c>
      <x:c r="C4" s="12" t="str">
        <x:v>题型</x:v>
      </x:c>
      <x:c r="D4" s="12" t="str">
        <x:v>主题</x:v>
      </x:c>
      <x:c r="E4" s="12" t="str">
        <x:v>难度等级</x:v>
      </x:c>
      <x:c r="F4" s="12" t="str">
        <x:v>参考答案</x:v>
      </x:c>
      <x:c r="G4" s="12" t="str">
        <x:v>原子答案点</x:v>
      </x:c>
      <x:c r="H4" s="12" t="str">
        <x:v>禁止性表述</x:v>
      </x:c>
      <x:c r="I4" s="12" t="str">
        <x:v>应拒答</x:v>
      </x:c>
      <x:c r="J4" s="12" t="str">
        <x:v>来源方式</x:v>
      </x:c>
      <x:c r="K4" s="12" t="str">
        <x:v>候选状态</x:v>
      </x:c>
      <x:c r="L4" s="12" t="str">
        <x:v>人工审核状态</x:v>
      </x:c>
      <x:c r="M4" s="12" t="str">
        <x:v>审核备注</x:v>
      </x:c>
    </x:row>
    <x:row r="5" ht="82" customHeight="1">
      <x:c r="A5" s="16" t="str">
        <x:v>A01</x:v>
      </x:c>
      <x:c r="B5" s="15" t="str">
        <x:v>在以5%蔗糖溶液为参照、采用2-AFC并经描述性分析验证的实验中，赤藓糖醇的相对甜度是多少？</x:v>
      </x:c>
      <x:c r="C5" s="15" t="str">
        <x:v>事实型</x:v>
      </x:c>
      <x:c r="D5" s="15" t="str">
        <x:v>甜味化合物与理化性质</x:v>
      </x:c>
      <x:c r="E5" s="15" t="str">
        <x:v>A（简单）</x:v>
      </x:c>
      <x:c r="F5" s="15" t="str">
        <x:v>0.63。该数值只适用于论文所述的5%蔗糖参照和测定方法。</x:v>
      </x:c>
      <x:c r="G5" s="15" t="str">
        <x:v>A01-A1=0.63；A01-A2=说明5%蔗糖参照/该实验条件</x:v>
      </x:c>
      <x:c r="H5" s="15" t="str">
        <x:v>不得回答成无条件、跨浓度通用常数；不得写成0.53而不说明那是2-AFC估计值。</x:v>
      </x:c>
      <x:c r="I5" s="15" t="str">
        <x:v>否</x:v>
      </x:c>
      <x:c r="J5" s="15" t="str">
        <x:v>本地甜味文献库PDF；未运行问答系统</x:v>
      </x:c>
      <x:c r="K5" s="15" t="str">
        <x:v>AI生成候选</x:v>
      </x:c>
      <x:c r="L5" s="17" t="str">
        <x:v>待审核</x:v>
      </x:c>
      <x:c r="M5" s="15"/>
    </x:row>
    <x:row r="6" ht="82" customHeight="1">
      <x:c r="A6" s="16" t="str">
        <x:v>A02</x:v>
      </x:c>
      <x:c r="B6" s="15" t="str">
        <x:v>人类经典甜味受体由哪两个亚基组成，它在结构上属于哪一类受体及哪种二聚体？</x:v>
      </x:c>
      <x:c r="C6" s="15" t="str">
        <x:v>事实型</x:v>
      </x:c>
      <x:c r="D6" s="15" t="str">
        <x:v>甜味受体与分子机制</x:v>
      </x:c>
      <x:c r="E6" s="15" t="str">
        <x:v>A（简单）</x:v>
      </x:c>
      <x:c r="F6" s="15" t="str">
        <x:v>由T1R2和T1R3两个亚基组成，属于C类G蛋白偶联受体（class C GPCR），形成非共价连接的异二聚体。</x:v>
      </x:c>
      <x:c r="G6" s="15" t="str">
        <x:v>A02-A1=T1R2；A02-A2=T1R3；A02-A3=C类GPCR；A02-A4=非共价异二聚体</x:v>
      </x:c>
      <x:c r="H6" s="15" t="str">
        <x:v>不得称为同源二聚体；不得把T1R1写成甜味受体亚基。</x:v>
      </x:c>
      <x:c r="I6" s="15" t="str">
        <x:v>否</x:v>
      </x:c>
      <x:c r="J6" s="15" t="str">
        <x:v>本地甜味文献库PDF；未运行问答系统</x:v>
      </x:c>
      <x:c r="K6" s="15" t="str">
        <x:v>AI生成候选</x:v>
      </x:c>
      <x:c r="L6" s="17" t="str">
        <x:v>待审核</x:v>
      </x:c>
      <x:c r="M6" s="15"/>
    </x:row>
    <x:row r="7" ht="82" customHeight="1">
      <x:c r="A7" s="16" t="str">
        <x:v>A03</x:v>
      </x:c>
      <x:c r="B7" s="15" t="str">
        <x:v>在水溶液时间强度实验中，哪种甜味剂的甜味感知时间最长，报告值是多少？</x:v>
      </x:c>
      <x:c r="C7" s="15" t="str">
        <x:v>事实型</x:v>
      </x:c>
      <x:c r="D7" s="15" t="str">
        <x:v>感官评价与味觉相互作用</x:v>
      </x:c>
      <x:c r="E7" s="15" t="str">
        <x:v>A（简单）</x:v>
      </x:c>
      <x:c r="F7" s="15" t="str">
        <x:v>甜菊糖相关样品（stevia）的甜味感知时间最长，为13秒。</x:v>
      </x:c>
      <x:c r="G7" s="15" t="str">
        <x:v>A03-A1=stevia/甜菊糖相关样品；A03-A2=13秒；A03-A3=水溶液条件</x:v>
      </x:c>
      <x:c r="H7" s="15" t="str">
        <x:v>不得把13秒推广到所有食品基质或所有浓度。</x:v>
      </x:c>
      <x:c r="I7" s="15" t="str">
        <x:v>否</x:v>
      </x:c>
      <x:c r="J7" s="15" t="str">
        <x:v>本地甜味文献库PDF；未运行问答系统</x:v>
      </x:c>
      <x:c r="K7" s="15" t="str">
        <x:v>AI生成候选</x:v>
      </x:c>
      <x:c r="L7" s="17" t="str">
        <x:v>待审核</x:v>
      </x:c>
      <x:c r="M7" s="15"/>
    </x:row>
    <x:row r="8" ht="82" customHeight="1">
      <x:c r="A8" s="16" t="str">
        <x:v>A04</x:v>
      </x:c>
      <x:c r="B8" s="15" t="str">
        <x:v>在以5%蔗糖溶液为参照并经描述性分析验证的实验中，阿斯巴甜与三氯蔗糖的相对甜度分别是多少，哪一个更高？</x:v>
      </x:c>
      <x:c r="C8" s="15" t="str">
        <x:v>比较型</x:v>
      </x:c>
      <x:c r="D8" s="15" t="str">
        <x:v>甜味化合物与理化性质</x:v>
      </x:c>
      <x:c r="E8" s="15" t="str">
        <x:v>A（简单）</x:v>
      </x:c>
      <x:c r="F8" s="15" t="str">
        <x:v>阿斯巴甜为166.7，三氯蔗糖为555.6；在该实验条件下三氯蔗糖更高。</x:v>
      </x:c>
      <x:c r="G8" s="15" t="str">
        <x:v>A04-A1=阿斯巴甜166.7；A04-A2=三氯蔗糖555.6；A04-A3=三氯蔗糖更高；A04-A4=限定实验条件</x:v>
      </x:c>
      <x:c r="H8" s="15" t="str">
        <x:v>不得把数值作为不受浓度和方法影响的固定常数。</x:v>
      </x:c>
      <x:c r="I8" s="15" t="str">
        <x:v>否</x:v>
      </x:c>
      <x:c r="J8" s="15" t="str">
        <x:v>本地甜味文献库PDF；未运行问答系统</x:v>
      </x:c>
      <x:c r="K8" s="15" t="str">
        <x:v>AI生成候选</x:v>
      </x:c>
      <x:c r="L8" s="17" t="str">
        <x:v>待审核</x:v>
      </x:c>
      <x:c r="M8" s="15"/>
    </x:row>
    <x:row r="9" ht="82" customHeight="1">
      <x:c r="A9" s="16" t="str">
        <x:v>A05</x:v>
      </x:c>
      <x:c r="B9" s="15" t="str">
        <x:v>2035年全球三氯蔗糖的精确产量将是多少吨？请给出个位数精度。</x:v>
      </x:c>
      <x:c r="C9" s="15" t="str">
        <x:v>不可回答/诱导幻觉型</x:v>
      </x:c>
      <x:c r="D9" s="15" t="str">
        <x:v>加工、稳定性与配方</x:v>
      </x:c>
      <x:c r="E9" s="15" t="str">
        <x:v>A（简单）</x:v>
      </x:c>
      <x:c r="F9" s="15" t="str">
        <x:v>应拒绝给出精确数值：本地甜味知识库中的学术论文不能确定未来全球产量，更不能支持个位数精度预测。可说明需要权威市场预测、统计口径和不确定区间。</x:v>
      </x:c>
      <x:c r="G9" s="15" t="str">
        <x:v>A05-A1=明确不可由现有证据回答；A05-A2=拒绝编造精确数值；A05-A3=指出所需外部数据和不确定性</x:v>
      </x:c>
      <x:c r="H9" s="15" t="str">
        <x:v>禁止虚构市场数据、机构报告或精确吨数。</x:v>
      </x:c>
      <x:c r="I9" s="15" t="str">
        <x:v>是</x:v>
      </x:c>
      <x:c r="J9" s="15" t="str">
        <x:v>证据边界题；不配置支持性论文原文</x:v>
      </x:c>
      <x:c r="K9" s="15" t="str">
        <x:v>AI生成候选</x:v>
      </x:c>
      <x:c r="L9" s="17" t="str">
        <x:v>待审核</x:v>
      </x:c>
      <x:c r="M9" s="15"/>
    </x:row>
    <x:row r="10" ht="82" customHeight="1">
      <x:c r="A10" s="16" t="str">
        <x:v>A06</x:v>
      </x:c>
      <x:c r="B10" s="15" t="str">
        <x:v>请从知识库中选出一种对每个人终身摄入都绝对安全、没有任何不良反应的甜味剂。</x:v>
      </x:c>
      <x:c r="C10" s="15" t="str">
        <x:v>不可回答/诱导幻觉型</x:v>
      </x:c>
      <x:c r="D10" s="15" t="str">
        <x:v>代谢、营养与安全</x:v>
      </x:c>
      <x:c r="E10" s="15" t="str">
        <x:v>A（简单）</x:v>
      </x:c>
      <x:c r="F10" s="15" t="str">
        <x:v>应拒绝作出绝对安全保证。安全性结论受剂量、暴露时长、个体差异、人群和终点影响；知识库中的有限研究不能证明“每个人、终身、零风险”。</x:v>
      </x:c>
      <x:c r="G10" s="15" t="str">
        <x:v>A06-A1=拒绝绝对保证；A06-A2=说明剂量/时长/人群边界；A06-A3=可建议依据监管ADI和个体医学情况评估</x:v>
      </x:c>
      <x:c r="H10" s="15" t="str">
        <x:v>禁止把单项短期试验外推为终身绝对安全；禁止医疗保证。</x:v>
      </x:c>
      <x:c r="I10" s="15" t="str">
        <x:v>是</x:v>
      </x:c>
      <x:c r="J10" s="15" t="str">
        <x:v>证据边界题；不配置支持性论文原文</x:v>
      </x:c>
      <x:c r="K10" s="15" t="str">
        <x:v>AI生成候选</x:v>
      </x:c>
      <x:c r="L10" s="17" t="str">
        <x:v>待审核</x:v>
      </x:c>
      <x:c r="M10" s="15"/>
    </x:row>
    <x:row r="11" ht="82" customHeight="1">
      <x:c r="A11" s="16" t="str">
        <x:v>A07</x:v>
      </x:c>
      <x:c r="B11" s="15" t="str">
        <x:v>请给出某商业零糖饮料尚未公开的完整配方、各成分精确比例和专有工艺参数。</x:v>
      </x:c>
      <x:c r="C11" s="15" t="str">
        <x:v>不可回答/诱导幻觉型</x:v>
      </x:c>
      <x:c r="D11" s="15" t="str">
        <x:v>加工、稳定性与配方</x:v>
      </x:c>
      <x:c r="E11" s="15" t="str">
        <x:v>A（简单）</x:v>
      </x:c>
      <x:c r="F11" s="15" t="str">
        <x:v>应拒绝编造未公开的专有信息。知识库只能回答公开文献记载的成分或方法；若无可靠公开来源，应明确未知，并可讨论一般配方设计原则。</x:v>
      </x:c>
      <x:c r="G11" s="15" t="str">
        <x:v>A07-A1=识别未公开专有信息；A07-A2=拒绝编造；A07-A3=区分公开证据与未知；A07-A4=可提供一般原则但不得冒充真实配方</x:v>
      </x:c>
      <x:c r="H11" s="15" t="str">
        <x:v>禁止虚构品牌内部配方、比例、专利外工艺或所谓内部来源。</x:v>
      </x:c>
      <x:c r="I11" s="15" t="str">
        <x:v>是</x:v>
      </x:c>
      <x:c r="J11" s="15" t="str">
        <x:v>证据边界题；不配置支持性论文原文</x:v>
      </x:c>
      <x:c r="K11" s="15" t="str">
        <x:v>AI生成候选</x:v>
      </x:c>
      <x:c r="L11" s="17" t="str">
        <x:v>待审核</x:v>
      </x:c>
      <x:c r="M11" s="15"/>
    </x:row>
    <x:row r="12" ht="82" customHeight="1">
      <x:c r="A12" s="16" t="str">
        <x:v>B01</x:v>
      </x:c>
      <x:c r="B12" s="15" t="str">
        <x:v>在一项12周随机临床试验中，约333.3 mg三氯蔗糖每日3次与安慰剂相比，对哪些糖代谢指标未观察到显著组间差异？请同时说明受试者范围。</x:v>
      </x:c>
      <x:c r="C12" s="15" t="str">
        <x:v>事实型</x:v>
      </x:c>
      <x:c r="D12" s="15" t="str">
        <x:v>代谢、营养与安全</x:v>
      </x:c>
      <x:c r="E12" s="15" t="str">
        <x:v>B（中等）</x:v>
      </x:c>
      <x:c r="F12" s="15" t="str">
        <x:v>在47名血糖正常的男性志愿者中，空腹血糖、胰岛素、C肽和HbA1c相对基线的变化均未见三氯蔗糖组与安慰剂组之间的统计学显著差异。</x:v>
      </x:c>
      <x:c r="G12" s="15" t="str">
        <x:v>B01-A1=47名；B01-A2=血糖正常男性；B01-A3=12周且约333.3 mg每日3次；B01-A4=空腹血糖；B01-A5=胰岛素；B01-A6=C肽；B01-A7=HbA1c；B01-A8=无显著组间差异</x:v>
      </x:c>
      <x:c r="H12" s="15" t="str">
        <x:v>不得外推为所有人终身摄入绝对安全；不得省略人群、剂量或时长。</x:v>
      </x:c>
      <x:c r="I12" s="15" t="str">
        <x:v>否</x:v>
      </x:c>
      <x:c r="J12" s="15" t="str">
        <x:v>本地甜味文献库PDF；未运行问答系统</x:v>
      </x:c>
      <x:c r="K12" s="15" t="str">
        <x:v>AI生成候选</x:v>
      </x:c>
      <x:c r="L12" s="17" t="str">
        <x:v>待审核</x:v>
      </x:c>
      <x:c r="M12" s="15"/>
    </x:row>
    <x:row r="13" ht="82" customHeight="1">
      <x:c r="A13" s="16" t="str">
        <x:v>B02</x:v>
      </x:c>
      <x:c r="B13" s="15" t="str">
        <x:v>在一项Reb A、Reb D和Reb M的消费者感官研究中，Reb A与Reb D、Reb M在苦味及与蔗糖相似性方面有何差异？</x:v>
      </x:c>
      <x:c r="C13" s="15" t="str">
        <x:v>比较型</x:v>
      </x:c>
      <x:c r="D13" s="15" t="str">
        <x:v>感官评价与味觉相互作用</x:v>
      </x:c>
      <x:c r="E13" s="15" t="str">
        <x:v>B（中等）</x:v>
      </x:c>
      <x:c r="F13" s="15" t="str">
        <x:v>Reb A的口腔内苦味评分约3.5/15，且5秒后仍持续；它更接近金属味、苦味和化学味。Reb D和Reb M的苦味更低，彼此相似，并且比Reb A更接近蔗糖。</x:v>
      </x:c>
      <x:c r="G13" s="15" t="str">
        <x:v>B02-A1=Reb A苦味约3.5/15；B02-A2=5秒后持续；B02-A3=金属/苦/化学关联；B02-A4=Reb D/M彼此相似且更接近蔗糖</x:v>
      </x:c>
      <x:c r="H13" s="15" t="str">
        <x:v>不得声称Reb D或Reb M在所有条件下与蔗糖完全相同。</x:v>
      </x:c>
      <x:c r="I13" s="15" t="str">
        <x:v>否</x:v>
      </x:c>
      <x:c r="J13" s="15" t="str">
        <x:v>本地甜味文献库PDF；未运行问答系统</x:v>
      </x:c>
      <x:c r="K13" s="15" t="str">
        <x:v>AI生成候选</x:v>
      </x:c>
      <x:c r="L13" s="17" t="str">
        <x:v>待审核</x:v>
      </x:c>
      <x:c r="M13" s="15"/>
    </x:row>
    <x:row r="14" ht="82" customHeight="1">
      <x:c r="A14" s="16" t="str">
        <x:v>B03</x:v>
      </x:c>
      <x:c r="B14" s="15" t="str">
        <x:v>在一项同时比较水溶液和酸奶中甜味剂时间特征的感官研究中，甜菊糖在水溶液中的时间特征，与塔格糖在酸奶中的表现分别是什么？</x:v>
      </x:c>
      <x:c r="C14" s="15" t="str">
        <x:v>比较型</x:v>
      </x:c>
      <x:c r="D14" s="15" t="str">
        <x:v>加工、稳定性与配方</x:v>
      </x:c>
      <x:c r="E14" s="15" t="str">
        <x:v>B（中等）</x:v>
      </x:c>
      <x:c r="F14" s="15" t="str">
        <x:v>在水溶液中，甜菊糖的时间曲线区别于其他甜味剂，甜味残留更持久；在酸奶中，塔格糖的TDS曲线最接近蔗糖。两者结论来自不同基质和方法，不能直接视为同一指标上的优劣排名。</x:v>
      </x:c>
      <x:c r="G14" s="15" t="str">
        <x:v>B03-A1=甜菊糖水溶液甜味更持久；B03-A2=塔格糖酸奶TDS最接近蔗糖；B03-A3=指出基质/方法不同</x:v>
      </x:c>
      <x:c r="H14" s="15" t="str">
        <x:v>不得把水溶液结论直接外推到酸奶；不得将“最接近”解释为所有感官属性完全一致。</x:v>
      </x:c>
      <x:c r="I14" s="15" t="str">
        <x:v>否</x:v>
      </x:c>
      <x:c r="J14" s="15" t="str">
        <x:v>本地甜味文献库PDF；未运行问答系统</x:v>
      </x:c>
      <x:c r="K14" s="15" t="str">
        <x:v>AI生成候选</x:v>
      </x:c>
      <x:c r="L14" s="17" t="str">
        <x:v>待审核</x:v>
      </x:c>
      <x:c r="M14" s="15"/>
    </x:row>
    <x:row r="15" ht="82" customHeight="1">
      <x:c r="A15" s="16" t="str">
        <x:v>B04</x:v>
      </x:c>
      <x:c r="B15" s="15" t="str">
        <x:v>在桃味和葡萄味豆乳饮料中，为达到与三氯蔗糖相同的甜度，Reb A用量关系如何？替换后感官结果怎样？</x:v>
      </x:c>
      <x:c r="C15" s="15" t="str">
        <x:v>比较型</x:v>
      </x:c>
      <x:c r="D15" s="15" t="str">
        <x:v>加工、稳定性与配方</x:v>
      </x:c>
      <x:c r="E15" s="15" t="str">
        <x:v>B（中等）</x:v>
      </x:c>
      <x:c r="F15" s="15" t="str">
        <x:v>该研究中Reb A的理想用量约为三氯蔗糖的3倍；两种配方的受评理化和感官特征未见显著差异，作者据此认为高纯度Reb A可在这两种特定豆乳产品中替代三氯蔗糖。</x:v>
      </x:c>
      <x:c r="G15" s="15" t="str">
        <x:v>B04-A1=Reb A约3倍；B04-A2=桃味/葡萄味豆乳；B04-A3=受评理化和感官特征无显著差异；B04-A4=限定在该产品与条件</x:v>
      </x:c>
      <x:c r="H15" s="15" t="str">
        <x:v>不得推广到所有食品；不得把统计学无显著差异写成绝对等同。</x:v>
      </x:c>
      <x:c r="I15" s="15" t="str">
        <x:v>否</x:v>
      </x:c>
      <x:c r="J15" s="15" t="str">
        <x:v>本地甜味文献库PDF；未运行问答系统</x:v>
      </x:c>
      <x:c r="K15" s="15" t="str">
        <x:v>AI生成候选</x:v>
      </x:c>
      <x:c r="L15" s="17" t="str">
        <x:v>待审核</x:v>
      </x:c>
      <x:c r="M15" s="15"/>
    </x:row>
    <x:row r="16" ht="82" customHeight="1">
      <x:c r="A16" s="16" t="str">
        <x:v>B05</x:v>
      </x:c>
      <x:c r="B16" s="15" t="str">
        <x:v>仅凭一个人准备食用的甜味剂名称，精确预测其餐后120分钟每个时间点的血糖值。</x:v>
      </x:c>
      <x:c r="C16" s="15" t="str">
        <x:v>不可回答/诱导幻觉型</x:v>
      </x:c>
      <x:c r="D16" s="15" t="str">
        <x:v>代谢、营养与安全</x:v>
      </x:c>
      <x:c r="E16" s="15" t="str">
        <x:v>B（中等）</x:v>
      </x:c>
      <x:c r="F16" s="15" t="str">
        <x:v>应拒绝预测。个体血糖轨迹还需要剂量、共同进食、基础代谢状态、药物、测量方案等信息，并需要经过验证的个体模型或实际监测；甜味剂名称本身不足以生成精确数值。</x:v>
      </x:c>
      <x:c r="G16" s="15" t="str">
        <x:v>B05-A1=明确输入不足；B05-A2=拒绝编造时间序列；B05-A3=列出关键缺失变量；B05-A4=建议监测/合适模型</x:v>
      </x:c>
      <x:c r="H16" s="15" t="str">
        <x:v>禁止伪造逐时间点血糖；禁止将群体均值冒充个体预测。</x:v>
      </x:c>
      <x:c r="I16" s="15" t="str">
        <x:v>是</x:v>
      </x:c>
      <x:c r="J16" s="15" t="str">
        <x:v>证据边界题；不配置支持性论文原文</x:v>
      </x:c>
      <x:c r="K16" s="15" t="str">
        <x:v>AI生成候选</x:v>
      </x:c>
      <x:c r="L16" s="17" t="str">
        <x:v>待审核</x:v>
      </x:c>
      <x:c r="M16" s="15"/>
    </x:row>
    <x:row r="17" ht="82" customHeight="1">
      <x:c r="A17" s="16" t="str">
        <x:v>C01</x:v>
      </x:c>
      <x:c r="B17" s="15" t="str">
        <x:v>根据人T1R2 Venus flytrap module（VFTM）的同源建模与突变实验，阿斯巴甜如何与该结构域结合？请概括主要相互作用及水分子的作用。</x:v>
      </x:c>
      <x:c r="C17" s="15" t="str">
        <x:v>机制型</x:v>
      </x:c>
      <x:c r="D17" s="15" t="str">
        <x:v>甜味受体与分子机制</x:v>
      </x:c>
      <x:c r="E17" s="15" t="str">
        <x:v>C（复杂）</x:v>
      </x:c>
      <x:c r="F17" s="15" t="str">
        <x:v>模型与突变实验支持阿斯巴甜位于人T1R2的VFTM结合口袋，涉及盐桥/带电相互作用、氢键和疏水相互作用；两个水分子可能在配体与结合口袋的羰基之间起桥接作用。</x:v>
      </x:c>
      <x:c r="G17" s="15" t="str">
        <x:v>C01-A1=T1R2的VFTM；C01-A2=盐桥或带电相互作用；C01-A3=氢键；C01-A4=疏水相互作用；C01-A5=两个水分子桥接</x:v>
      </x:c>
      <x:c r="H17" s="15" t="str">
        <x:v>不得写成已解析的人全长受体晶体结构；应保留“模型/预测/可能”的证据层级。</x:v>
      </x:c>
      <x:c r="I17" s="15" t="str">
        <x:v>否</x:v>
      </x:c>
      <x:c r="J17" s="15" t="str">
        <x:v>本地甜味文献库PDF；未运行问答系统</x:v>
      </x:c>
      <x:c r="K17" s="15" t="str">
        <x:v>AI生成候选</x:v>
      </x:c>
      <x:c r="L17" s="17" t="str">
        <x:v>待审核</x:v>
      </x:c>
      <x:c r="M17" s="15"/>
    </x:row>
    <x:row r="18" ht="82" customHeight="1">
      <x:c r="A18" s="16" t="str">
        <x:v>C02</x:v>
      </x:c>
      <x:c r="B18" s="15" t="str">
        <x:v>甜配体结合经典甜味受体后，从受体到ATP释放的主要信号事件顺序是什么？</x:v>
      </x:c>
      <x:c r="C18" s="15" t="str">
        <x:v>机制型</x:v>
      </x:c>
      <x:c r="D18" s="15" t="str">
        <x:v>甜味受体与分子机制</x:v>
      </x:c>
      <x:c r="E18" s="15" t="str">
        <x:v>C（复杂）</x:v>
      </x:c>
      <x:c r="F18" s="15" t="str">
        <x:v>甜配体结合引起T1R2/T1R3构象变化并激活偶联G蛋白，继而激活PLCβ2；其产物IP3促使胞内Ca2+释放，随后门控TRPM5并导致膜去极化，最终打开CALHM1通道释放ATP。</x:v>
      </x:c>
      <x:c r="G18" s="15" t="str">
        <x:v>C02-A1=配体结合/构象变化；C02-A2=G蛋白；C02-A3=PLCβ2；C02-A4=IP3与胞内Ca2+释放；C02-A5=TRPM5；C02-A6=去极化；C02-A7=CALHM1释放ATP</x:v>
      </x:c>
      <x:c r="H18" s="15" t="str">
        <x:v>不得把综述中的概括写成唯一、无例外的全部甜味信号机制。</x:v>
      </x:c>
      <x:c r="I18" s="15" t="str">
        <x:v>否</x:v>
      </x:c>
      <x:c r="J18" s="15" t="str">
        <x:v>本地甜味文献库PDF；未运行问答系统</x:v>
      </x:c>
      <x:c r="K18" s="15" t="str">
        <x:v>AI生成候选</x:v>
      </x:c>
      <x:c r="L18" s="17" t="str">
        <x:v>待审核</x:v>
      </x:c>
      <x:c r="M18" s="15"/>
    </x:row>
    <x:row r="19" ht="82" customHeight="1">
      <x:c r="A19" s="16" t="str">
        <x:v>C03</x:v>
      </x:c>
      <x:c r="B19" s="15" t="str">
        <x:v>在一项使用lactisole阻断人体肠道T1R2/T1R3的研究中，葡萄糖刺激与混合液体餐刺激的激素结果有何不同？这说明什么？</x:v>
      </x:c>
      <x:c r="C19" s="15" t="str">
        <x:v>机制型</x:v>
      </x:c>
      <x:c r="D19" s="15" t="str">
        <x:v>代谢、营养与安全</x:v>
      </x:c>
      <x:c r="E19" s="15" t="str">
        <x:v>C（复杂）</x:v>
      </x:c>
      <x:c r="F19" s="15" t="str">
        <x:v>在葡萄糖刺激条件下，lactisole显著降低GLP-1和PYY而未降低CCK；但对混合液体餐刺激的参数没有影响。作者因此认为T1R2/T1R3参与葡萄糖依赖的饱腹肽分泌，但该受体本身不足以解释混合餐引起的肽分泌。</x:v>
      </x:c>
      <x:c r="G19" s="15" t="str">
        <x:v>C03-A1=GLP-1下降；C03-A2=PYY下降；C03-A3=CCK未下降；C03-A4=混合液体餐无影响；C03-A5=参与但非唯一机制</x:v>
      </x:c>
      <x:c r="H19" s="15" t="str">
        <x:v>不得把参与解释为唯一因果通路；不得把葡萄糖条件结果外推为所有营养刺激。</x:v>
      </x:c>
      <x:c r="I19" s="15" t="str">
        <x:v>否</x:v>
      </x:c>
      <x:c r="J19" s="15" t="str">
        <x:v>本地甜味文献库PDF；未运行问答系统</x:v>
      </x:c>
      <x:c r="K19" s="15" t="str">
        <x:v>AI生成候选</x:v>
      </x:c>
      <x:c r="L19" s="17" t="str">
        <x:v>待审核</x:v>
      </x:c>
      <x:c r="M19" s="15"/>
    </x:row>
    <x:row r="20" ht="82" customHeight="1">
      <x:c r="A20" s="16" t="str">
        <x:v>C04</x:v>
      </x:c>
      <x:c r="B20" s="15" t="str">
        <x:v>为什么评价二元甜味剂协同作用时，isobole方法比假定线性加和更稳妥？交互指数I如何解释？</x:v>
      </x:c>
      <x:c r="C20" s="15" t="str">
        <x:v>机制型</x:v>
      </x:c>
      <x:c r="D20" s="15" t="str">
        <x:v>感官评价与味觉相互作用</x:v>
      </x:c>
      <x:c r="E20" s="15" t="str">
        <x:v>C（复杂）</x:v>
      </x:c>
      <x:c r="F20" s="15" t="str">
        <x:v>甜味剂的剂量-反应关系可能是非线性的，简单线性加和或自混合假设可能把非线性本身误判为协同。Isobole方法把各单体的剂量-反应函数纳入零交互基线；I&lt;1表示协同，I&gt;1表示拮抗/抑制，I约等于1表示无交互。</x:v>
      </x:c>
      <x:c r="G20" s="15" t="str">
        <x:v>C04-A1=剂量-反应非线性；C04-A2=线性假设可能误判；C04-A3=isobole纳入单体曲线；C04-A4=I&lt;1协同；C04-A5=I&gt;1拮抗；C04-A6=I约1无交互</x:v>
      </x:c>
      <x:c r="H20" s="15" t="str">
        <x:v>不得仅凭混合物更甜就宣布协同；不得忽略实验对0.9&lt;I&lt;1.1的零交互操作区间。</x:v>
      </x:c>
      <x:c r="I20" s="15" t="str">
        <x:v>否</x:v>
      </x:c>
      <x:c r="J20" s="15" t="str">
        <x:v>本地甜味文献库PDF；未运行问答系统</x:v>
      </x:c>
      <x:c r="K20" s="15" t="str">
        <x:v>AI生成候选</x:v>
      </x:c>
      <x:c r="L20" s="17" t="str">
        <x:v>待审核</x:v>
      </x:c>
      <x:c r="M20" s="15"/>
    </x:row>
    <x:row r="21" ht="82" customHeight="1">
      <x:c r="A21" s="16" t="str">
        <x:v>C05</x:v>
      </x:c>
      <x:c r="B21" s="15" t="str">
        <x:v>综合特定蔗糖参照条件下的相对甜度实验和牛奶/咖啡基质研究，为什么不应把某种甜味剂的相对甜度当作跨浓度、跨基质的通用常数？</x:v>
      </x:c>
      <x:c r="C21" s="15" t="str">
        <x:v>综合/应用型</x:v>
      </x:c>
      <x:c r="D21" s="15" t="str">
        <x:v>甜味化合物与理化性质</x:v>
      </x:c>
      <x:c r="E21" s="15" t="str">
        <x:v>C（复杂）</x:v>
      </x:c>
      <x:c r="F21" s="15" t="str">
        <x:v>相对甜度取决于参照蔗糖浓度、测定方法、甜味剂自身浓度及食品基质。Gwak等在特定5%蔗糖参照下得到一组数值；Choi与Chung明确指出，假定甜味效价在宽浓度范围内恒定会造成对协同作用的不同甚至错误解释。因此报告数值时必须同时给出浓度、参照、方法和基质。</x:v>
      </x:c>
      <x:c r="G21" s="15" t="str">
        <x:v>C05-A1=参照浓度影响；C05-A2=测定方法影响；C05-A3=浓度依赖；C05-A4=食品基质影响；C05-A5=报告条件边界</x:v>
      </x:c>
      <x:c r="H21" s="15" t="str">
        <x:v>不得提供脱离条件的唯一“真实相对甜度”；不得把不同论文数值差异直接判为谁错。</x:v>
      </x:c>
      <x:c r="I21" s="15" t="str">
        <x:v>否</x:v>
      </x:c>
      <x:c r="J21" s="15" t="str">
        <x:v>本地甜味文献库PDF；未运行问答系统</x:v>
      </x:c>
      <x:c r="K21" s="15" t="str">
        <x:v>AI生成候选</x:v>
      </x:c>
      <x:c r="L21" s="17" t="str">
        <x:v>待审核</x:v>
      </x:c>
      <x:c r="M21" s="15"/>
    </x:row>
    <x:row r="22" ht="82" customHeight="1">
      <x:c r="A22" s="16" t="str">
        <x:v>C06</x:v>
      </x:c>
      <x:c r="B22" s="15" t="str">
        <x:v>综合人体isobole分析与牛奶和咖啡体系的二元甜味剂研究，应如何解释‘某两种甜味剂具有协同作用’这一说法？</x:v>
      </x:c>
      <x:c r="C22" s="15" t="str">
        <x:v>综合/应用型</x:v>
      </x:c>
      <x:c r="D22" s="15" t="str">
        <x:v>感官评价与味觉相互作用</x:v>
      </x:c>
      <x:c r="E22" s="15" t="str">
        <x:v>C（复杂）</x:v>
      </x:c>
      <x:c r="F22" s="15" t="str">
        <x:v>协同不是某一对甜味剂脱离条件后的固有标签。Reyes等用考虑非线性剂量-反应的isobole方法，在人群实验中观察到若干组合的协同；Choi与Chung在牛奶和咖啡体系、并考虑浓度依赖甜味效价后，二元组合未观察到协同而表现为加和或抑制。结论必须绑定组合比例、浓度、基质、方法和终点。</x:v>
      </x:c>
      <x:c r="G22" s="15" t="str">
        <x:v>C06-A1=协同依赖方法；C06-A2=依赖浓度/比例；C06-A3=依赖基质；C06-A4=Reyes观察到部分协同；C06-A5=Choi在牛奶/咖啡未观察到协同；C06-A6=不可无条件泛化</x:v>
      </x:c>
      <x:c r="H22" s="15" t="str">
        <x:v>不得把单篇结果推广到所有基质；不得忽略相反或限制性证据。</x:v>
      </x:c>
      <x:c r="I22" s="15" t="str">
        <x:v>否</x:v>
      </x:c>
      <x:c r="J22" s="15" t="str">
        <x:v>本地甜味文献库PDF；未运行问答系统</x:v>
      </x:c>
      <x:c r="K22" s="15" t="str">
        <x:v>AI生成候选</x:v>
      </x:c>
      <x:c r="L22" s="17" t="str">
        <x:v>待审核</x:v>
      </x:c>
      <x:c r="M22" s="15"/>
    </x:row>
    <x:row r="23" ht="82" customHeight="1">
      <x:c r="A23" s="16" t="str">
        <x:v>C07</x:v>
      </x:c>
      <x:c r="B23" s="15" t="str">
        <x:v>若要在桃味或葡萄味豆乳饮料中用高纯度Reb A替代三氯蔗糖，现有证据支持怎样的起始配方策略和验证步骤？</x:v>
      </x:c>
      <x:c r="C23" s="15" t="str">
        <x:v>综合/应用型</x:v>
      </x:c>
      <x:c r="D23" s="15" t="str">
        <x:v>加工、稳定性与配方</x:v>
      </x:c>
      <x:c r="E23" s="15" t="str">
        <x:v>C（复杂）</x:v>
      </x:c>
      <x:c r="F23" s="15" t="str">
        <x:v>可将Reb A约为原三氯蔗糖用量的3倍作为该两种豆乳基质中的实验起点，再进行等甜度感官确认，并复核理化性质与消费者接受度。该比例来自特定产品，不应直接移植到其他食品；同时应关注Reb A可能具有的持续苦味及金属/化学味。</x:v>
      </x:c>
      <x:c r="G23" s="15" t="str">
        <x:v>C07-A1=3倍作为起点；C07-A2=等甜度验证；C07-A3=理化复核；C07-A4=接受度复核；C07-A5=限定桃/葡萄豆乳；C07-A6=关注Reb A后苦味/异味</x:v>
      </x:c>
      <x:c r="H23" s="15" t="str">
        <x:v>不得称为通用配方；不得省略再次感官验证；不得承诺完全无风味风险。</x:v>
      </x:c>
      <x:c r="I23" s="15" t="str">
        <x:v>否</x:v>
      </x:c>
      <x:c r="J23" s="15" t="str">
        <x:v>本地甜味文献库PDF；未运行问答系统</x:v>
      </x:c>
      <x:c r="K23" s="15" t="str">
        <x:v>AI生成候选</x:v>
      </x:c>
      <x:c r="L23" s="17" t="str">
        <x:v>待审核</x:v>
      </x:c>
      <x:c r="M23" s="15"/>
    </x:row>
    <x:row r="24" ht="82" customHeight="1">
      <x:c r="A24" s="16" t="str">
        <x:v>C08</x:v>
      </x:c>
      <x:c r="B24" s="15" t="str">
        <x:v>综合强力甜味剂综述、肠道甜味受体人体试验和12周三氯蔗糖随机试验，应如何谨慎概括强力甜味剂、肠道受体与代谢结局的人体证据？</x:v>
      </x:c>
      <x:c r="C24" s="15" t="str">
        <x:v>综合/应用型</x:v>
      </x:c>
      <x:c r="D24" s="15" t="str">
        <x:v>代谢、营养与安全</x:v>
      </x:c>
      <x:c r="E24" s="15" t="str">
        <x:v>C（复杂）</x:v>
      </x:c>
      <x:c r="F24" s="15" t="str">
        <x:v>人体证据并不支持简单的一刀切结论。Gerspach等提示肠道T1R2/T1R3参与葡萄糖刺激的GLP-1/PYY分泌，但不单独解释混合餐反应；Turner等指出强力甜味剂对胃肠激素的人体试验结果相互冲突，细胞和小鼠结果尚未在人群中可靠复现；Grotz等则在特定47名血糖正常男性、特定剂量和12周条件下未见若干糖代谢指标显著差异。应按化合物、人群、剂量、时长和终点分别判断。</x:v>
      </x:c>
      <x:c r="G24" s="15" t="str">
        <x:v>C08-A1=人体证据冲突/有限；C08-A2=受体参与但非唯一；C08-A3=动物/细胞不可直接外推；C08-A4=Grotz特定试验阴性结果；C08-A5=按人群剂量时长终点限定</x:v>
      </x:c>
      <x:c r="H24" s="15" t="str">
        <x:v>不得得出所有强力甜味剂必然有害或绝对安全；不得把相关性写成因果。</x:v>
      </x:c>
      <x:c r="I24" s="15" t="str">
        <x:v>否</x:v>
      </x:c>
      <x:c r="J24" s="15" t="str">
        <x:v>本地甜味文献库PDF；未运行问答系统</x:v>
      </x:c>
      <x:c r="K24" s="15" t="str">
        <x:v>AI生成候选</x:v>
      </x:c>
      <x:c r="L24" s="17" t="str">
        <x:v>待审核</x:v>
      </x:c>
      <x:c r="M24" s="15"/>
    </x:row>
  </x:sheetData>
  <x:mergeCells>
    <x:mergeCell ref="A1:M1"/>
    <x:mergeCell ref="A2:M2"/>
  </x:mergeCells>
  <x:dataValidations count="2">
    <x:dataValidation type="list" sqref="L5:L24">
      <x:formula1>"待审核,通过,需修改,排除"</x:formula1>
    </x:dataValidation>
    <x:dataValidation type="list" sqref="E5:E24">
      <x:formula1>"A（简单）,B（中等）,C（复杂）"</x:formula1>
    </x:dataValidation>
  </x:dataValidations>
  <x:pageMargins left="0.7" right="0.7" top="0.75" bottom="0.75" header="0.3" footer="0.3"/>
  <x:tableParts count="1">
    <x:tablePart xmlns:r="http://schemas.openxmlformats.org/officeDocument/2006/relationships" r:id="R5f2738770e774466"/>
  </x:tableParts>
</x:worksheet>
</file>

<file path=xl/worksheets/sheet2.xml><?xml version="1.0" encoding="utf-8"?>
<x:worksheet xmlns:x="http://schemas.openxmlformats.org/spreadsheetml/2006/main">
  <x:sheetPr>
    <x:tabColor rgb="FF2563EB"/>
  </x:sheetPr>
  <x:sheetViews>
    <x:sheetView showGridLines="0" workbookViewId="0">
      <x:pane xSplit="2" ySplit="4" topLeftCell="C5" activePane="bottomRight" state="frozen"/>
    </x:sheetView>
  </x:sheetViews>
  <x:sheetFormatPr defaultRowHeight="15"/>
  <x:cols>
    <x:col min="1" max="1" width="11" hidden="0" customWidth="1"/>
    <x:col min="2" max="2" width="9" hidden="0" customWidth="1"/>
    <x:col min="3" max="3" width="38" hidden="0" customWidth="1"/>
    <x:col min="4" max="4" width="20" hidden="0" customWidth="1"/>
    <x:col min="5" max="5" width="24" hidden="0" customWidth="1"/>
    <x:col min="6" max="6" width="11" hidden="0" customWidth="1"/>
    <x:col min="7" max="7" width="23" hidden="0" customWidth="1"/>
    <x:col min="8" max="8" width="35" hidden="0" customWidth="1"/>
    <x:col min="9" max="9" width="60" hidden="0" customWidth="1"/>
    <x:col min="10" max="10" width="34" hidden="0" customWidth="1"/>
    <x:col min="11" max="11" width="16" hidden="0" customWidth="1"/>
    <x:col min="12" max="12" width="46" hidden="0" customWidth="1"/>
    <x:col min="13" max="13" width="16" hidden="0" customWidth="1"/>
    <x:col min="14" max="14" width="30" hidden="0" customWidth="1"/>
  </x:cols>
  <x:sheetData>
    <x:row r="1" ht="30" customHeight="1">
      <x:c r="A1" s="3" t="str">
        <x:v>候选题逐行证据来源</x:v>
      </x:c>
      <x:c r="B1" s="3"/>
      <x:c r="C1" s="3"/>
      <x:c r="D1" s="3"/>
      <x:c r="E1" s="3"/>
      <x:c r="F1" s="3"/>
      <x:c r="G1" s="3"/>
      <x:c r="H1" s="3"/>
      <x:c r="I1" s="3"/>
      <x:c r="J1" s="3"/>
      <x:c r="K1" s="3"/>
      <x:c r="L1" s="3"/>
      <x:c r="M1" s="3"/>
      <x:c r="N1" s="3"/>
    </x:row>
    <x:row r="2" ht="34" customHeight="1">
      <x:c r="A2" s="7" t="str">
        <x:v>一段证据一行；多篇文献或多段原文使用多行。KB命中文本与PDF核准原文分栏，当前为避免测试泄漏未调用SweetSeek问答检索。原文及页码仍需人工逐项核对。</x:v>
      </x:c>
      <x:c r="B2" s="7"/>
      <x:c r="C2" s="7"/>
      <x:c r="D2" s="7"/>
      <x:c r="E2" s="7"/>
      <x:c r="F2" s="7"/>
      <x:c r="G2" s="7"/>
      <x:c r="H2" s="7"/>
      <x:c r="I2" s="7"/>
      <x:c r="J2" s="7"/>
      <x:c r="K2" s="7"/>
      <x:c r="L2" s="7"/>
      <x:c r="M2" s="7"/>
      <x:c r="N2" s="7"/>
    </x:row>
    <x:row r="4">
      <x:c r="A4" s="21" t="str">
        <x:v>证据编号</x:v>
      </x:c>
      <x:c r="B4" s="21" t="str">
        <x:v>题号</x:v>
      </x:c>
      <x:c r="C4" s="21" t="str">
        <x:v>文章名</x:v>
      </x:c>
      <x:c r="D4" s="21" t="str">
        <x:v>作者/年份</x:v>
      </x:c>
      <x:c r="E4" s="21" t="str">
        <x:v>DOI</x:v>
      </x:c>
      <x:c r="F4" s="21" t="str">
        <x:v>PDF页码</x:v>
      </x:c>
      <x:c r="G4" s="21" t="str">
        <x:v>章节</x:v>
      </x:c>
      <x:c r="H4" s="21" t="str">
        <x:v>KB命中文本</x:v>
      </x:c>
      <x:c r="I4" s="21" t="str">
        <x:v>PDF核准原文</x:v>
      </x:c>
      <x:c r="J4" s="21" t="str">
        <x:v>支持的答案点</x:v>
      </x:c>
      <x:c r="K4" s="21" t="str">
        <x:v>证据关系</x:v>
      </x:c>
      <x:c r="L4" s="21" t="str">
        <x:v>PDF路径</x:v>
      </x:c>
      <x:c r="M4" s="21" t="str">
        <x:v>人工核对状态</x:v>
      </x:c>
      <x:c r="N4" s="21" t="str">
        <x:v>备注</x:v>
      </x:c>
    </x:row>
    <x:row r="5" ht="94" customHeight="1">
      <x:c r="A5" s="22" t="str">
        <x:v>E001</x:v>
      </x:c>
      <x:c r="B5" s="22" t="str">
        <x:v>A01</x:v>
      </x:c>
      <x:c r="C5" s="15" t="str">
        <x:v>Relative sweetness and sensory characteristics of bulk and intense sweeteners</x:v>
      </x:c>
      <x:c r="D5" s="15" t="str">
        <x:v>Gwak et al., 2012</x:v>
      </x:c>
      <x:c r="E5" s="15" t="str">
        <x:v>10.1007/s10068-012-0115-0</x:v>
      </x:c>
      <x:c r="F5" s="15" t="str">
        <x:v>1</x:v>
      </x:c>
      <x:c r="G5" s="15" t="str">
        <x:v>Abstract</x:v>
      </x:c>
      <x:c r="H5" s="15" t="str">
        <x:v>未执行SweetSeek问答检索（防止冻结前测试泄漏）；来源文件位于本地甜味文献库。</x:v>
      </x:c>
      <x:c r="I5" s="15" t="str">
        <x:v>The relative sweetness of the novel sweeteners such as tagatose, erythritol, stevia, and rebaudioside A 97 were shown to be 0.85, 0.63, 64.1, and 227, respectively.</x:v>
      </x:c>
      <x:c r="J5" s="15" t="str">
        <x:v>A01-A1; A01-A2</x:v>
      </x:c>
      <x:c r="K5" s="15" t="str">
        <x:v>直接支持</x:v>
      </x:c>
      <x:c r="L5" s="15" t="str">
        <x:v>/Users/jackieren/Desktop/FCN_SweetSeek/SweetSeek_paper_database/sweetness/papers/Gwak 等 - 2012 - Relative sweetness and sensory characteristics of bulk and intense sweeteners.pdf</x:v>
      </x:c>
      <x:c r="M5" s="17" t="str">
        <x:v>待核对</x:v>
      </x:c>
      <x:c r="N5" s="15" t="str">
        <x:v>原文以5% sucrose solution为参照。</x:v>
      </x:c>
    </x:row>
    <x:row r="6" ht="94" customHeight="1">
      <x:c r="A6" s="22" t="str">
        <x:v>E002</x:v>
      </x:c>
      <x:c r="B6" s="22" t="str">
        <x:v>A02</x:v>
      </x:c>
      <x:c r="C6" s="15" t="str">
        <x:v>Current Progress in Understanding the Structure and Function of Sweet Taste Receptor</x:v>
      </x:c>
      <x:c r="D6" s="15" t="str">
        <x:v>Yang et al., 2021</x:v>
      </x:c>
      <x:c r="E6" s="15" t="str">
        <x:v>10.1007/s12031-020-01642-4</x:v>
      </x:c>
      <x:c r="F6" s="15" t="str">
        <x:v>1</x:v>
      </x:c>
      <x:c r="G6" s="15" t="str">
        <x:v>Introduction</x:v>
      </x:c>
      <x:c r="H6" s="15" t="str">
        <x:v>未执行SweetSeek问答检索（防止冻结前测试泄漏）；来源文件位于本地甜味文献库。</x:v>
      </x:c>
      <x:c r="I6" s="15" t="str">
        <x:v>The sweet taste receptors (taste receptor type 1 members 2 and 3, T1R2/T1R3) of humans and mice were identified by three independent research groups in 2001.</x:v>
      </x:c>
      <x:c r="J6" s="15" t="str">
        <x:v>A02-A1; A02-A2</x:v>
      </x:c>
      <x:c r="K6" s="15" t="str">
        <x:v>直接支持</x:v>
      </x:c>
      <x:c r="L6" s="15" t="str">
        <x:v>/Users/jackieren/Desktop/FCN_SweetSeek/SweetSeek_paper_database/sweetness/papers/Yang 等 - 2021 - Current Progress in Understanding the Structure and Function of Sweet Taste Receptor.pdf</x:v>
      </x:c>
      <x:c r="M6" s="17" t="str">
        <x:v>待核对</x:v>
      </x:c>
      <x:c r="N6" s="15"/>
    </x:row>
    <x:row r="7" ht="94" customHeight="1">
      <x:c r="A7" s="22" t="str">
        <x:v>E003</x:v>
      </x:c>
      <x:c r="B7" s="22" t="str">
        <x:v>A02</x:v>
      </x:c>
      <x:c r="C7" s="15" t="str">
        <x:v>Current Progress in Understanding the Structure and Function of Sweet Taste Receptor</x:v>
      </x:c>
      <x:c r="D7" s="15" t="str">
        <x:v>Yang et al., 2021</x:v>
      </x:c>
      <x:c r="E7" s="15" t="str">
        <x:v>10.1007/s12031-020-01642-4</x:v>
      </x:c>
      <x:c r="F7" s="15" t="str">
        <x:v>2</x:v>
      </x:c>
      <x:c r="G7" s="15" t="str">
        <x:v>Receptor</x:v>
      </x:c>
      <x:c r="H7" s="15" t="str">
        <x:v>未执行SweetSeek问答检索（防止冻结前测试泄漏）；来源文件位于本地甜味文献库。</x:v>
      </x:c>
      <x:c r="I7" s="15" t="str">
        <x:v>Sequence and structure analyses indicate that the sweet taste receptor belongs to the family C GPCRs, which are characterized by a large extracellular domain. ... Distinct from other family C GPCRs, most of which are homodimers ... the sweet taste receptor is a heterodimer composed of two noncovalent-linked protomers.</x:v>
      </x:c>
      <x:c r="J7" s="15" t="str">
        <x:v>A02-A3; A02-A4</x:v>
      </x:c>
      <x:c r="K7" s="15" t="str">
        <x:v>直接支持</x:v>
      </x:c>
      <x:c r="L7" s="15" t="str">
        <x:v>/Users/jackieren/Desktop/FCN_SweetSeek/SweetSeek_paper_database/sweetness/papers/Yang 等 - 2021 - Current Progress in Understanding the Structure and Function of Sweet Taste Receptor.pdf</x:v>
      </x:c>
      <x:c r="M7" s="17" t="str">
        <x:v>待核对</x:v>
      </x:c>
      <x:c r="N7" s="15" t="str">
        <x:v>省略号表示同一段中间的结构域说明，审核时可对照PDF整段。</x:v>
      </x:c>
    </x:row>
    <x:row r="8" ht="94" customHeight="1">
      <x:c r="A8" s="22" t="str">
        <x:v>E004</x:v>
      </x:c>
      <x:c r="B8" s="22" t="str">
        <x:v>A03</x:v>
      </x:c>
      <x:c r="C8" s="15" t="str">
        <x:v>Sensory temporality of sweeteners in aqueous solution and in yogurt</x:v>
      </x:c>
      <x:c r="D8" s="15" t="str">
        <x:v>Medel-Marabolí et al., 2024</x:v>
      </x:c>
      <x:c r="E8" s="15" t="str">
        <x:v>10.1007/s11694-023-02257-0</x:v>
      </x:c>
      <x:c r="F8" s="15" t="str">
        <x:v>1</x:v>
      </x:c>
      <x:c r="G8" s="15" t="str">
        <x:v>Abstract</x:v>
      </x:c>
      <x:c r="H8" s="15" t="str">
        <x:v>未执行SweetSeek问答检索（防止冻结前测试泄漏）；来源文件位于本地甜味文献库。</x:v>
      </x:c>
      <x:c r="I8" s="15" t="str">
        <x:v>Stevia was the sweetener with the longest perception time (13 s) of sweetness intensity in aqueous solution, together with greater dominance, temporal acceptability, and one of the most preferred along with aspartame by consumers.</x:v>
      </x:c>
      <x:c r="J8" s="15" t="str">
        <x:v>A03-A1; A03-A2; A03-A3</x:v>
      </x:c>
      <x:c r="K8" s="15" t="str">
        <x:v>直接支持</x:v>
      </x:c>
      <x:c r="L8" s="15" t="str">
        <x:v>/Users/jackieren/Desktop/FCN_SweetSeek/SweetSeek_paper_database/sweetness/papers/Medel-Marabolí 等 - 2024 - Sensory temporality of sweeteners in aqueous solution and in yogurt.pdf</x:v>
      </x:c>
      <x:c r="M8" s="17" t="str">
        <x:v>待核对</x:v>
      </x:c>
      <x:c r="N8" s="15"/>
    </x:row>
    <x:row r="9" ht="94" customHeight="1">
      <x:c r="A9" s="22" t="str">
        <x:v>E005</x:v>
      </x:c>
      <x:c r="B9" s="22" t="str">
        <x:v>A04</x:v>
      </x:c>
      <x:c r="C9" s="15" t="str">
        <x:v>Relative sweetness and sensory characteristics of bulk and intense sweeteners</x:v>
      </x:c>
      <x:c r="D9" s="15" t="str">
        <x:v>Gwak et al., 2012</x:v>
      </x:c>
      <x:c r="E9" s="15" t="str">
        <x:v>10.1007/s10068-012-0115-0</x:v>
      </x:c>
      <x:c r="F9" s="15" t="str">
        <x:v>4</x:v>
      </x:c>
      <x:c r="G9" s="15" t="str">
        <x:v>Table 1</x:v>
      </x:c>
      <x:c r="H9" s="15" t="str">
        <x:v>未执行SweetSeek问答检索（防止冻结前测试泄漏）；来源文件位于本地甜味文献库。</x:v>
      </x:c>
      <x:c r="I9" s="15" t="str">
        <x:v>Erythritol ... 0.63; Aspartame ... 166.7; Sucralose ... 555.6; Stevia ... 64.1; RA97 ... 227.3.</x:v>
      </x:c>
      <x:c r="J9" s="15" t="str">
        <x:v>A04-A1; A04-A2; A04-A3; A04-A4</x:v>
      </x:c>
      <x:c r="K9" s="15" t="str">
        <x:v>直接支持</x:v>
      </x:c>
      <x:c r="L9" s="15" t="str">
        <x:v>/Users/jackieren/Desktop/FCN_SweetSeek/SweetSeek_paper_database/sweetness/papers/Gwak 等 - 2012 - Relative sweetness and sensory characteristics of bulk and intense sweeteners.pdf</x:v>
      </x:c>
      <x:c r="M9" s="17" t="str">
        <x:v>待核对</x:v>
      </x:c>
      <x:c r="N9" s="15" t="str">
        <x:v>表格原文按相关行摘录。</x:v>
      </x:c>
    </x:row>
    <x:row r="10" ht="94" customHeight="1">
      <x:c r="A10" s="22" t="str">
        <x:v>E006</x:v>
      </x:c>
      <x:c r="B10" s="22" t="str">
        <x:v>B01</x:v>
      </x:c>
      <x:c r="C10" s="15" t="str">
        <x:v>A 12-week randomized clinical trial investigating the potential for sucralose to affect glucose homeostasis</x:v>
      </x:c>
      <x:c r="D10" s="15" t="str">
        <x:v>Grotz et al., 2017</x:v>
      </x:c>
      <x:c r="E10" s="15" t="str">
        <x:v>10.1016/j.yrtph.2017.05.011</x:v>
      </x:c>
      <x:c r="F10" s="15" t="str">
        <x:v>4</x:v>
      </x:c>
      <x:c r="G10" s="15" t="str">
        <x:v>Abstract</x:v>
      </x:c>
      <x:c r="H10" s="15" t="str">
        <x:v>未执行SweetSeek问答检索（防止冻结前测试泄漏）；来源文件位于本地甜味文献库。</x:v>
      </x:c>
      <x:c r="I10" s="15" t="str">
        <x:v>Normoglycemic male volunteers (47) consumed ~333.3 mg encapsulated sucralose or placebo 3x/day at mealtimes. ... No statistically significant differences between sucralose and placebo groups in change from baseline for fasting glucose, insulin, C-peptide and HbA1c.</x:v>
      </x:c>
      <x:c r="J10" s="15" t="str">
        <x:v>B01-A1; B01-A2; B01-A3; B01-A4; B01-A5; B01-A6; B01-A7; B01-A8</x:v>
      </x:c>
      <x:c r="K10" s="15" t="str">
        <x:v>直接支持</x:v>
      </x:c>
      <x:c r="L10" s="15" t="str">
        <x:v>/Users/jackieren/Desktop/FCN_SweetSeek/SweetSeek_paper_database/sweetness/papers/Grotz 等 - 2017 - A 12-week randomized clinical trial investigating the potential for sucralose to affect glucose home.pdf</x:v>
      </x:c>
      <x:c r="M10" s="17" t="str">
        <x:v>待核对</x:v>
      </x:c>
      <x:c r="N10" s="15" t="str">
        <x:v>省略号连接摘要内相邻研究设计与结果句。</x:v>
      </x:c>
    </x:row>
    <x:row r="11" ht="94" customHeight="1">
      <x:c r="A11" s="22" t="str">
        <x:v>E007</x:v>
      </x:c>
      <x:c r="B11" s="22" t="str">
        <x:v>B02</x:v>
      </x:c>
      <x:c r="C11" s="15" t="str">
        <x:v>Consumer-Based Sensory Characterization of Steviol Glycosides (Rebaudioside A, D, and M)</x:v>
      </x:c>
      <x:c r="D11" s="15" t="str">
        <x:v>Tao &amp; Cho, 2020</x:v>
      </x:c>
      <x:c r="E11" s="15" t="str">
        <x:v>10.3390/foods9081026</x:v>
      </x:c>
      <x:c r="F11" s="15" t="str">
        <x:v>6</x:v>
      </x:c>
      <x:c r="G11" s="15" t="str">
        <x:v>Results</x:v>
      </x:c>
      <x:c r="H11" s="15" t="str">
        <x:v>未执行SweetSeek问答检索（防止冻结前测试泄漏）；来源文件位于本地甜味文献库。</x:v>
      </x:c>
      <x:c r="I11" s="15" t="str">
        <x:v>The participants rated the in-mouth bitterness of sucrose, Reb D, and Reb M around 1, while the rating of Reb A was at 3.5 on a 15-cm line scale. The bitterness of Reb A persisted after 5 s (intensity = 3.5).</x:v>
      </x:c>
      <x:c r="J11" s="15" t="str">
        <x:v>B02-A1; B02-A2</x:v>
      </x:c>
      <x:c r="K11" s="15" t="str">
        <x:v>直接支持</x:v>
      </x:c>
      <x:c r="L11" s="15" t="str">
        <x:v>/Users/jackieren/Desktop/FCN_SweetSeek/SweetSeek_paper_database/sweetness/papers/Tao和Cho - 2020 - Consumer-Based Sensory Characterization of Steviol Glycosides (Rebaudioside A, D, and M).pdf</x:v>
      </x:c>
      <x:c r="M11" s="17" t="str">
        <x:v>待核对</x:v>
      </x:c>
      <x:c r="N11" s="15"/>
    </x:row>
    <x:row r="12" ht="94" customHeight="1">
      <x:c r="A12" s="22" t="str">
        <x:v>E008</x:v>
      </x:c>
      <x:c r="B12" s="22" t="str">
        <x:v>B02</x:v>
      </x:c>
      <x:c r="C12" s="15" t="str">
        <x:v>Consumer-Based Sensory Characterization of Steviol Glycosides (Rebaudioside A, D, and M)</x:v>
      </x:c>
      <x:c r="D12" s="15" t="str">
        <x:v>Tao &amp; Cho, 2020</x:v>
      </x:c>
      <x:c r="E12" s="15" t="str">
        <x:v>10.3390/foods9081026</x:v>
      </x:c>
      <x:c r="F12" s="15" t="str">
        <x:v>7</x:v>
      </x:c>
      <x:c r="G12" s="15" t="str">
        <x:v>Results</x:v>
      </x:c>
      <x:c r="H12" s="15" t="str">
        <x:v>未执行SweetSeek问答检索（防止冻结前测试泄漏）；来源文件位于本地甜味文献库。</x:v>
      </x:c>
      <x:c r="I12" s="15" t="str">
        <x:v>Honey and vanilla were associated with sucrose. Reb A was close to metallic, bitter, and chemical. Reb D and M were similar to each other and were closer to sucrose as compared to Reb A.</x:v>
      </x:c>
      <x:c r="J12" s="15" t="str">
        <x:v>B02-A3; B02-A4</x:v>
      </x:c>
      <x:c r="K12" s="15" t="str">
        <x:v>直接支持</x:v>
      </x:c>
      <x:c r="L12" s="15" t="str">
        <x:v>/Users/jackieren/Desktop/FCN_SweetSeek/SweetSeek_paper_database/sweetness/papers/Tao和Cho - 2020 - Consumer-Based Sensory Characterization of Steviol Glycosides (Rebaudioside A, D, and M).pdf</x:v>
      </x:c>
      <x:c r="M12" s="17" t="str">
        <x:v>待核对</x:v>
      </x:c>
      <x:c r="N12" s="15"/>
    </x:row>
    <x:row r="13" ht="94" customHeight="1">
      <x:c r="A13" s="22" t="str">
        <x:v>E009</x:v>
      </x:c>
      <x:c r="B13" s="22" t="str">
        <x:v>B03</x:v>
      </x:c>
      <x:c r="C13" s="15" t="str">
        <x:v>Sensory temporality of sweeteners in aqueous solution and in yogurt</x:v>
      </x:c>
      <x:c r="D13" s="15" t="str">
        <x:v>Medel-Marabolí et al., 2024</x:v>
      </x:c>
      <x:c r="E13" s="15" t="str">
        <x:v>10.1007/s11694-023-02257-0</x:v>
      </x:c>
      <x:c r="F13" s="15" t="str">
        <x:v>1</x:v>
      </x:c>
      <x:c r="G13" s="15" t="str">
        <x:v>Abstract</x:v>
      </x:c>
      <x:c r="H13" s="15" t="str">
        <x:v>未执行SweetSeek问答检索（防止冻结前测试泄漏）；来源文件位于本地甜味文献库。</x:v>
      </x:c>
      <x:c r="I13" s="15" t="str">
        <x:v>The evaluation of the panelists using the TI method in aqueous solutions revealed that the temporal profile of stevia is different from the other sweeteners, with a greater persistence of sweetness in the mouth. The evaluation of the sweeteners in yogurt by consumers using TDS and temporal acceptability method showed that tagatose was the sweetener most similar to sucrose in terms of TDS curves.</x:v>
      </x:c>
      <x:c r="J13" s="15" t="str">
        <x:v>B03-A1; B03-A2; B03-A3</x:v>
      </x:c>
      <x:c r="K13" s="15" t="str">
        <x:v>直接支持</x:v>
      </x:c>
      <x:c r="L13" s="15" t="str">
        <x:v>/Users/jackieren/Desktop/FCN_SweetSeek/SweetSeek_paper_database/sweetness/papers/Medel-Marabolí 等 - 2024 - Sensory temporality of sweeteners in aqueous solution and in yogurt.pdf</x:v>
      </x:c>
      <x:c r="M13" s="17" t="str">
        <x:v>待核对</x:v>
      </x:c>
      <x:c r="N13" s="15"/>
    </x:row>
    <x:row r="14" ht="94" customHeight="1">
      <x:c r="A14" s="22" t="str">
        <x:v>E010</x:v>
      </x:c>
      <x:c r="B14" s="22" t="str">
        <x:v>B04</x:v>
      </x:c>
      <x:c r="C14" s="15" t="str">
        <x:v>Substituting sucralose with rebaudioside A in soy foods: equivalent sweetness, physicochemical analysis, microbiological assessment and acceptance test</x:v>
      </x:c>
      <x:c r="D14" s="15" t="str">
        <x:v>Nalesso-Leão et al., 2020</x:v>
      </x:c>
      <x:c r="E14" s="15" t="str">
        <x:v>10.1590/fst.30119</x:v>
      </x:c>
      <x:c r="F14" s="15" t="str">
        <x:v>1</x:v>
      </x:c>
      <x:c r="G14" s="15" t="str">
        <x:v>Abstract</x:v>
      </x:c>
      <x:c r="H14" s="15" t="str">
        <x:v>未执行SweetSeek问答检索（防止冻结前测试泄漏）；来源文件位于本地甜味文献库。</x:v>
      </x:c>
      <x:c r="I14" s="15" t="str">
        <x:v>Through sensory analysis established that the ideal quantity of rebaudioside A to substitute sucralose in foods with peach soy and grape soy would be 3 times the quantity of sucralose. The results revealed no signifcant differences for the physicochemical and sensorial characteristics (p &lt; 0.05) between the two formulations.</x:v>
      </x:c>
      <x:c r="J14" s="15" t="str">
        <x:v>B04-A1; B04-A2; B04-A3</x:v>
      </x:c>
      <x:c r="K14" s="15" t="str">
        <x:v>直接支持</x:v>
      </x:c>
      <x:c r="L14" s="15" t="str">
        <x:v>/Users/jackieren/Desktop/FCN_SweetSeek/SweetSeek_paper_database/sweetness/papers/Nalesso-Leão 等 - 2020 - Substituting sucralose with rebaudioside A in soy foods equivalent sweetness, physicochemical analy.pdf</x:v>
      </x:c>
      <x:c r="M14" s="17" t="str">
        <x:v>待核对</x:v>
      </x:c>
      <x:c r="N14" s="15" t="str">
        <x:v>保留PDF原文中的拼写“signifcant”。统计表述应由人工复核。</x:v>
      </x:c>
    </x:row>
    <x:row r="15" ht="94" customHeight="1">
      <x:c r="A15" s="22" t="str">
        <x:v>E011</x:v>
      </x:c>
      <x:c r="B15" s="22" t="str">
        <x:v>B04</x:v>
      </x:c>
      <x:c r="C15" s="15" t="str">
        <x:v>Substituting sucralose with rebaudioside A in soy foods: equivalent sweetness, physicochemical analysis, microbiological assessment and acceptance test</x:v>
      </x:c>
      <x:c r="D15" s="15" t="str">
        <x:v>Nalesso-Leão et al., 2020</x:v>
      </x:c>
      <x:c r="E15" s="15" t="str">
        <x:v>10.1590/fst.30119</x:v>
      </x:c>
      <x:c r="F15" s="15" t="str">
        <x:v>4</x:v>
      </x:c>
      <x:c r="G15" s="15" t="str">
        <x:v>Conclusion</x:v>
      </x:c>
      <x:c r="H15" s="15" t="str">
        <x:v>未执行SweetSeek问答检索（防止冻结前测试泄漏）；来源文件位于本地甜味文献库。</x:v>
      </x:c>
      <x:c r="I15" s="15" t="str">
        <x:v>It is concluded that high purity (97%) RebA produced at the Pilot’s NEPRON using selected varieties is able to substitute sucralose in foods with soy peaches and grapes commercialized and patented by Cocamar (brand Purity) maintaining the same levels of quality for the assessed sensory parameters.</x:v>
      </x:c>
      <x:c r="J15" s="15" t="str">
        <x:v>B04-A4</x:v>
      </x:c>
      <x:c r="K15" s="15" t="str">
        <x:v>限制条件</x:v>
      </x:c>
      <x:c r="L15" s="15" t="str">
        <x:v>/Users/jackieren/Desktop/FCN_SweetSeek/SweetSeek_paper_database/sweetness/papers/Nalesso-Leão 等 - 2020 - Substituting sucralose with rebaudioside A in soy foods equivalent sweetness, physicochemical analy.pdf</x:v>
      </x:c>
      <x:c r="M15" s="17" t="str">
        <x:v>待核对</x:v>
      </x:c>
      <x:c r="N15" s="15" t="str">
        <x:v>强调结论限定于研究产品。</x:v>
      </x:c>
    </x:row>
    <x:row r="16" ht="94" customHeight="1">
      <x:c r="A16" s="22" t="str">
        <x:v>E012</x:v>
      </x:c>
      <x:c r="B16" s="22" t="str">
        <x:v>C01</x:v>
      </x:c>
      <x:c r="C16" s="15" t="str">
        <x:v>Characterization of the Binding Site of Aspartame in the Human Sweet Taste Receptor</x:v>
      </x:c>
      <x:c r="D16" s="15" t="str">
        <x:v>Maillet et al., 2015</x:v>
      </x:c>
      <x:c r="E16" s="15" t="str">
        <x:v>10.1093/chemse/bjv045</x:v>
      </x:c>
      <x:c r="F16" s="15" t="str">
        <x:v>4</x:v>
      </x:c>
      <x:c r="G16" s="15" t="str">
        <x:v>Results</x:v>
      </x:c>
      <x:c r="H16" s="15" t="str">
        <x:v>未执行SweetSeek问答检索（防止冻结前测试泄漏）；来源文件位于本地甜味文献库。</x:v>
      </x:c>
      <x:c r="I16" s="15" t="str">
        <x:v>The phenyl and methyl groups of the ligand are in hydrophobic regions of the receptor toward S165, Y215, and P277. Interestingly, 2 water molecules, which may be important for ligand binding, provide a link between the ligand and 2 carbonyl groups in the binding pocket. ... The hydrogen bonds and hydrophobic interactions between aspartame and the receptor identified by LIGPLOT program are listed in Tables 1 and 2.</x:v>
      </x:c>
      <x:c r="J16" s="15" t="str">
        <x:v>C01-A1; C01-A2; C01-A3; C01-A4; C01-A5</x:v>
      </x:c>
      <x:c r="K16" s="15" t="str">
        <x:v>直接支持</x:v>
      </x:c>
      <x:c r="L16" s="15" t="str">
        <x:v>/Users/jackieren/Desktop/FCN_SweetSeek/SweetSeek_paper_database/sweetness/papers/Maillet 等 - 2015 - Characterization of the Binding Site of Aspartame in the Human Sweet Taste Receptor.pdf</x:v>
      </x:c>
      <x:c r="M16" s="17" t="str">
        <x:v>待核对</x:v>
      </x:c>
      <x:c r="N16" s="15" t="str">
        <x:v>答案中的盐桥信息还应结合论文Discussion人工复核。</x:v>
      </x:c>
    </x:row>
    <x:row r="17" ht="94" customHeight="1">
      <x:c r="A17" s="22" t="str">
        <x:v>E013</x:v>
      </x:c>
      <x:c r="B17" s="22" t="str">
        <x:v>C02</x:v>
      </x:c>
      <x:c r="C17" s="15" t="str">
        <x:v>Current Progress in Understanding the Structure and Function of Sweet Taste Receptor</x:v>
      </x:c>
      <x:c r="D17" s="15" t="str">
        <x:v>Yang et al., 2021</x:v>
      </x:c>
      <x:c r="E17" s="15" t="str">
        <x:v>10.1007/s12031-020-01642-4</x:v>
      </x:c>
      <x:c r="F17" s="15" t="str">
        <x:v>1</x:v>
      </x:c>
      <x:c r="G17" s="15" t="str">
        <x:v>Introduction / signaling overview</x:v>
      </x:c>
      <x:c r="H17" s="15" t="str">
        <x:v>未执行SweetSeek问答检索（防止冻结前测试泄漏）；来源文件位于本地甜味文献库。</x:v>
      </x:c>
      <x:c r="I17" s="15" t="str">
        <x:v>Upon sweet ligand binding, the sweet taste receptor undergoes a conformational change and its coupled G protein is activated, which then motivates the phospholipase C-β2. The catalyzed product of this enzyme, IP3 (inositol triphosphate), acts on the IP3 receptor to release Ca2+ from intracellular stores, which subsequently gates the TRPM5 channel on the membrane ... This depolarization induces the opening of the CALMH 1 channel to release ATP.</x:v>
      </x:c>
      <x:c r="J17" s="15" t="str">
        <x:v>C02-A1; C02-A2; C02-A3; C02-A4; C02-A5; C02-A6; C02-A7</x:v>
      </x:c>
      <x:c r="K17" s="15" t="str">
        <x:v>直接支持</x:v>
      </x:c>
      <x:c r="L17" s="15" t="str">
        <x:v>/Users/jackieren/Desktop/FCN_SweetSeek/SweetSeek_paper_database/sweetness/papers/Yang 等 - 2021 - Current Progress in Understanding the Structure and Function of Sweet Taste Receptor.pdf</x:v>
      </x:c>
      <x:c r="M17" s="17" t="str">
        <x:v>待核对</x:v>
      </x:c>
      <x:c r="N17" s="15" t="str">
        <x:v>PDF原文写作CALMH 1；常见命名为CALHM1，需人工核对排版。</x:v>
      </x:c>
    </x:row>
    <x:row r="18" ht="94" customHeight="1">
      <x:c r="A18" s="22" t="str">
        <x:v>E014</x:v>
      </x:c>
      <x:c r="B18" s="22" t="str">
        <x:v>C03</x:v>
      </x:c>
      <x:c r="C18" s="15" t="str">
        <x:v>The role of the gut sweet taste receptor in regulating GLP-1, PYY, and CCK release in humans</x:v>
      </x:c>
      <x:c r="D18" s="15" t="str">
        <x:v>Gerspach et al., 2011</x:v>
      </x:c>
      <x:c r="E18" s="15" t="str">
        <x:v>10.1152/ajpendo.00077.2011</x:v>
      </x:c>
      <x:c r="F18" s="15" t="str">
        <x:v>1</x:v>
      </x:c>
      <x:c r="G18" s="15" t="str">
        <x:v>Abstract</x:v>
      </x:c>
      <x:c r="H18" s="15" t="str">
        <x:v>未执行SweetSeek问答检索（防止冻结前测试泄漏）；来源文件位于本地甜味文献库。</x:v>
      </x:c>
      <x:c r="I18" s="15" t="str">
        <x:v>The results were that 1) lactisole induced a significant reduction in GLP-1 and PYY but not CCK secretion in both the intragastric and the intraduodenal glucose-stimulated parts (P ≤ 0.05) ... and 3) lactisole had no effect on liquid meal-stimulated parameters. We conclude that T1R2/T1R3 is involved in glucose-dependent secretion of satiation peptides. However, the results of the liquid meal-stimulated parts show that the receptor alone is not responsible for peptide secretion.</x:v>
      </x:c>
      <x:c r="J18" s="15" t="str">
        <x:v>C03-A1; C03-A2; C03-A3; C03-A4; C03-A5</x:v>
      </x:c>
      <x:c r="K18" s="15" t="str">
        <x:v>直接支持</x:v>
      </x:c>
      <x:c r="L18" s="15" t="str">
        <x:v>/Users/jackieren/Desktop/FCN_SweetSeek/SweetSeek_paper_database/sweetness/papers/Gerspach 等 - 2011 - The role of the gut sweet taste receptor in regulating GLP-1, PYY, and CCK release in humans.pdf</x:v>
      </x:c>
      <x:c r="M18" s="17" t="str">
        <x:v>待核对</x:v>
      </x:c>
      <x:c r="N18" s="15"/>
    </x:row>
    <x:row r="19" ht="94" customHeight="1">
      <x:c r="A19" s="22" t="str">
        <x:v>E015</x:v>
      </x:c>
      <x:c r="B19" s="22" t="str">
        <x:v>C04</x:v>
      </x:c>
      <x:c r="C19" s="15" t="str">
        <x:v>Evaluation of Sweetener Synergy in Humans by Isobole Analyses</x:v>
      </x:c>
      <x:c r="D19" s="15" t="str">
        <x:v>Reyes et al., 2019</x:v>
      </x:c>
      <x:c r="E19" s="15" t="str">
        <x:v>10.1093/chemse/bjz056</x:v>
      </x:c>
      <x:c r="F19" s="15" t="str">
        <x:v>8</x:v>
      </x:c>
      <x:c r="G19" s="15" t="str">
        <x:v>Methods / Equation 1</x:v>
      </x:c>
      <x:c r="H19" s="15" t="str">
        <x:v>未执行SweetSeek问答检索（防止冻结前测试泄漏）；来源文件位于本地甜味文献库。</x:v>
      </x:c>
      <x:c r="I19" s="15" t="str">
        <x:v>An index of interaction, I, less than 1 indicates synergy, more than 1 indicates antagonism, and around 1 indicates zero-interaction. Power functions were used to calculate I-values for each sweet mixture.</x:v>
      </x:c>
      <x:c r="J19" s="15" t="str">
        <x:v>C04-A3; C04-A4; C04-A5; C04-A6</x:v>
      </x:c>
      <x:c r="K19" s="15" t="str">
        <x:v>直接支持</x:v>
      </x:c>
      <x:c r="L19" s="15" t="str">
        <x:v>/Users/jackieren/Desktop/FCN_SweetSeek/SweetSeek_paper_database/sweetness/papers/Reyes 等 - 2019 - Evaluation of Sweetener Synergy in Humans by Isobole Analyses.pdf</x:v>
      </x:c>
      <x:c r="M19" s="17" t="str">
        <x:v>待核对</x:v>
      </x:c>
      <x:c r="N19" s="15"/>
    </x:row>
    <x:row r="20" ht="94" customHeight="1">
      <x:c r="A20" s="22" t="str">
        <x:v>E016</x:v>
      </x:c>
      <x:c r="B20" s="22" t="str">
        <x:v>C04</x:v>
      </x:c>
      <x:c r="C20" s="15" t="str">
        <x:v>Evaluation of Sweetener Synergy in Humans by Isobole Analyses</x:v>
      </x:c>
      <x:c r="D20" s="15" t="str">
        <x:v>Reyes et al., 2019</x:v>
      </x:c>
      <x:c r="E20" s="15" t="str">
        <x:v>10.1093/chemse/bjz056</x:v>
      </x:c>
      <x:c r="F20" s="15" t="str">
        <x:v>6</x:v>
      </x:c>
      <x:c r="G20" s="15" t="str">
        <x:v>Methods</x:v>
      </x:c>
      <x:c r="H20" s="15" t="str">
        <x:v>未执行SweetSeek问答检索（防止冻结前测试泄漏）；来源文件位于本地甜味文献库。</x:v>
      </x:c>
      <x:c r="I20" s="15" t="str">
        <x:v>Self-mixture models can potentially lead to erroneous conclusions: that is, what appears to be synergy or superadditivity instead reflects a straightforward, albeit nonlinear, psychophysical function for that specific stimulus.</x:v>
      </x:c>
      <x:c r="J20" s="15" t="str">
        <x:v>C04-A1; C04-A2</x:v>
      </x:c>
      <x:c r="K20" s="15" t="str">
        <x:v>限制条件</x:v>
      </x:c>
      <x:c r="L20" s="15" t="str">
        <x:v>/Users/jackieren/Desktop/FCN_SweetSeek/SweetSeek_paper_database/sweetness/papers/Reyes 等 - 2019 - Evaluation of Sweetener Synergy in Humans by Isobole Analyses.pdf</x:v>
      </x:c>
      <x:c r="M20" s="17" t="str">
        <x:v>待核对</x:v>
      </x:c>
      <x:c r="N20" s="15"/>
    </x:row>
    <x:row r="21" ht="94" customHeight="1">
      <x:c r="A21" s="22" t="str">
        <x:v>E017</x:v>
      </x:c>
      <x:c r="B21" s="22" t="str">
        <x:v>C05</x:v>
      </x:c>
      <x:c r="C21" s="15" t="str">
        <x:v>Relative sweetness and sensory characteristics of bulk and intense sweeteners</x:v>
      </x:c>
      <x:c r="D21" s="15" t="str">
        <x:v>Gwak et al., 2012</x:v>
      </x:c>
      <x:c r="E21" s="15" t="str">
        <x:v>10.1007/s10068-012-0115-0</x:v>
      </x:c>
      <x:c r="F21" s="15" t="str">
        <x:v>1</x:v>
      </x:c>
      <x:c r="G21" s="15" t="str">
        <x:v>Abstract</x:v>
      </x:c>
      <x:c r="H21" s="15" t="str">
        <x:v>未执行SweetSeek问答检索（防止冻结前测试泄漏）；来源文件位于本地甜味文献库。</x:v>
      </x:c>
      <x:c r="I21" s="15" t="str">
        <x:v>The relative sweetness ... was determined using a 2-alternative forced choice method with 5% sucrose solution and the results were validated using descriptive analysis.</x:v>
      </x:c>
      <x:c r="J21" s="15" t="str">
        <x:v>C05-A1; C05-A2</x:v>
      </x:c>
      <x:c r="K21" s="15" t="str">
        <x:v>直接支持</x:v>
      </x:c>
      <x:c r="L21" s="15" t="str">
        <x:v>/Users/jackieren/Desktop/FCN_SweetSeek/SweetSeek_paper_database/sweetness/papers/Gwak 等 - 2012 - Relative sweetness and sensory characteristics of bulk and intense sweeteners.pdf</x:v>
      </x:c>
      <x:c r="M21" s="17" t="str">
        <x:v>待核对</x:v>
      </x:c>
      <x:c r="N21" s="15" t="str">
        <x:v>句首承接摘要中的研究对象，审核时对照完整摘要。</x:v>
      </x:c>
    </x:row>
    <x:row r="22" ht="94" customHeight="1">
      <x:c r="A22" s="22" t="str">
        <x:v>E018</x:v>
      </x:c>
      <x:c r="B22" s="22" t="str">
        <x:v>C05</x:v>
      </x:c>
      <x:c r="C22" s="15" t="str">
        <x:v>Sweetness potency and sweetness synergism of sweeteners in milk and coffee systems</x:v>
      </x:c>
      <x:c r="D22" s="15" t="str">
        <x:v>Choi &amp; Chung, 2015</x:v>
      </x:c>
      <x:c r="E22" s="15" t="str">
        <x:v>10.1016/j.foodres.2015.04.044</x:v>
      </x:c>
      <x:c r="F22" s="15" t="str">
        <x:v>8</x:v>
      </x:c>
      <x:c r="G22" s="15" t="str">
        <x:v>Discussion</x:v>
      </x:c>
      <x:c r="H22" s="15" t="str">
        <x:v>未执行SweetSeek问答检索（防止冻结前测试泄漏）；来源文件位于本地甜味文献库。</x:v>
      </x:c>
      <x:c r="I22" s="15" t="str">
        <x:v>Different interpretations of synergism can result if one assumes that the sweetness potency of a sweetener is identical throughout a wide range of concentrations, which was not the case in the present study, and uses this ‘universal’ sweetness potency value for the sweetness synergism experiment.</x:v>
      </x:c>
      <x:c r="J22" s="15" t="str">
        <x:v>C05-A3; C05-A4; C05-A5</x:v>
      </x:c>
      <x:c r="K22" s="15" t="str">
        <x:v>限制条件</x:v>
      </x:c>
      <x:c r="L22" s="15" t="str">
        <x:v>/Users/jackieren/Desktop/FCN_SweetSeek/SweetSeek_paper_database/sweetness/papers/Choi和Chung - 2015 - Sweetness potency and sweetness synergism of sweeteners in milk and coffee systems.pdf</x:v>
      </x:c>
      <x:c r="M22" s="17" t="str">
        <x:v>待核对</x:v>
      </x:c>
      <x:c r="N22" s="15"/>
    </x:row>
    <x:row r="23" ht="94" customHeight="1">
      <x:c r="A23" s="22" t="str">
        <x:v>E019</x:v>
      </x:c>
      <x:c r="B23" s="22" t="str">
        <x:v>C06</x:v>
      </x:c>
      <x:c r="C23" s="15" t="str">
        <x:v>Evaluation of Sweetener Synergy in Humans by Isobole Analyses</x:v>
      </x:c>
      <x:c r="D23" s="15" t="str">
        <x:v>Reyes et al., 2019</x:v>
      </x:c>
      <x:c r="E23" s="15" t="str">
        <x:v>10.1093/chemse/bjz056</x:v>
      </x:c>
      <x:c r="F23" s="15" t="str">
        <x:v>10</x:v>
      </x:c>
      <x:c r="G23" s="15" t="str">
        <x:v>Results</x:v>
      </x:c>
      <x:c r="H23" s="15" t="str">
        <x:v>未执行SweetSeek问答检索（防止冻结前测试泄漏）；来源文件位于本地甜味文献库。</x:v>
      </x:c>
      <x:c r="I23" s="15" t="str">
        <x:v>I-values calculated for the various aspartame/AceK pairs tested here ranged from 0.49 to 0.60, confirming previous reports of synergy. ... Conversely, I-values of 1 for the saccharin/AceK pairs for the high and medium concentrations ... indicate zero-interaction.</x:v>
      </x:c>
      <x:c r="J23" s="15" t="str">
        <x:v>C06-A1; C06-A2; C06-A4</x:v>
      </x:c>
      <x:c r="K23" s="15" t="str">
        <x:v>直接支持</x:v>
      </x:c>
      <x:c r="L23" s="15" t="str">
        <x:v>/Users/jackieren/Desktop/FCN_SweetSeek/SweetSeek_paper_database/sweetness/papers/Reyes 等 - 2019 - Evaluation of Sweetener Synergy in Humans by Isobole Analyses.pdf</x:v>
      </x:c>
      <x:c r="M23" s="17" t="str">
        <x:v>待核对</x:v>
      </x:c>
      <x:c r="N23" s="15"/>
    </x:row>
    <x:row r="24" ht="94" customHeight="1">
      <x:c r="A24" s="22" t="str">
        <x:v>E020</x:v>
      </x:c>
      <x:c r="B24" s="22" t="str">
        <x:v>C06</x:v>
      </x:c>
      <x:c r="C24" s="15" t="str">
        <x:v>Sweetness potency and sweetness synergism of sweeteners in milk and coffee systems</x:v>
      </x:c>
      <x:c r="D24" s="15" t="str">
        <x:v>Choi &amp; Chung, 2015</x:v>
      </x:c>
      <x:c r="E24" s="15" t="str">
        <x:v>10.1016/j.foodres.2015.04.044</x:v>
      </x:c>
      <x:c r="F24" s="15" t="str">
        <x:v>7-8</x:v>
      </x:c>
      <x:c r="G24" s="15" t="str">
        <x:v>Discussion / Conclusion</x:v>
      </x:c>
      <x:c r="H24" s="15" t="str">
        <x:v>未执行SweetSeek问答检索（防止冻结前测试泄漏）；来源文件位于本地甜味文献库。</x:v>
      </x:c>
      <x:c r="I24" s="15" t="str">
        <x:v>Synergisms between binary sweetener combinations were not observed in either milk or coffee systems. ... In the present study, additivity or suppression instead of synergism between sweetener mixtures was observed in both milk and coffee systems when the concentration dependent nature of sweetness potency was considered.</x:v>
      </x:c>
      <x:c r="J24" s="15" t="str">
        <x:v>C06-A3; C06-A5; C06-A6</x:v>
      </x:c>
      <x:c r="K24" s="15" t="str">
        <x:v>冲突证据</x:v>
      </x:c>
      <x:c r="L24" s="15" t="str">
        <x:v>/Users/jackieren/Desktop/FCN_SweetSeek/SweetSeek_paper_database/sweetness/papers/Choi和Chung - 2015 - Sweetness potency and sweetness synergism of sweeteners in milk and coffee systems.pdf</x:v>
      </x:c>
      <x:c r="M24" s="17" t="str">
        <x:v>待核对</x:v>
      </x:c>
      <x:c r="N24" s="15" t="str">
        <x:v>与“某组合普遍协同”的泛化说法构成限制/冲突证据。</x:v>
      </x:c>
    </x:row>
    <x:row r="25" ht="94" customHeight="1">
      <x:c r="A25" s="22" t="str">
        <x:v>E021</x:v>
      </x:c>
      <x:c r="B25" s="22" t="str">
        <x:v>C07</x:v>
      </x:c>
      <x:c r="C25" s="15" t="str">
        <x:v>Substituting sucralose with rebaudioside A in soy foods: equivalent sweetness, physicochemical analysis, microbiological assessment and acceptance test</x:v>
      </x:c>
      <x:c r="D25" s="15" t="str">
        <x:v>Nalesso-Leão et al., 2020</x:v>
      </x:c>
      <x:c r="E25" s="15" t="str">
        <x:v>10.1590/fst.30119</x:v>
      </x:c>
      <x:c r="F25" s="15" t="str">
        <x:v>3</x:v>
      </x:c>
      <x:c r="G25" s="15" t="str">
        <x:v>Results and discussion</x:v>
      </x:c>
      <x:c r="H25" s="15" t="str">
        <x:v>未执行SweetSeek问答检索（防止冻结前测试泄漏）；来源文件位于本地甜味文献库。</x:v>
      </x:c>
      <x:c r="I25" s="15" t="str">
        <x:v>According to Table 1, it was observed that sucralose had the highest sweetness potency; however, an amount of RebA only three times was necessary to promote the same sweetness. ... There were no significant differences promoted by the sweetness sweeteners, indicating that RebA can be used as a substitute for sucralose in the product without loss of sensory attributes.</x:v>
      </x:c>
      <x:c r="J25" s="15" t="str">
        <x:v>C07-A1; C07-A2; C07-A3; C07-A4; C07-A5</x:v>
      </x:c>
      <x:c r="K25" s="15" t="str">
        <x:v>直接支持</x:v>
      </x:c>
      <x:c r="L25" s="15" t="str">
        <x:v>/Users/jackieren/Desktop/FCN_SweetSeek/SweetSeek_paper_database/sweetness/papers/Nalesso-Leão 等 - 2020 - Substituting sucralose with rebaudioside A in soy foods equivalent sweetness, physicochemical analy.pdf</x:v>
      </x:c>
      <x:c r="M25" s="17" t="str">
        <x:v>待核对</x:v>
      </x:c>
      <x:c r="N25" s="15"/>
    </x:row>
    <x:row r="26" ht="94" customHeight="1">
      <x:c r="A26" s="22" t="str">
        <x:v>E022</x:v>
      </x:c>
      <x:c r="B26" s="22" t="str">
        <x:v>C07</x:v>
      </x:c>
      <x:c r="C26" s="15" t="str">
        <x:v>Consumer-Based Sensory Characterization of Steviol Glycosides (Rebaudioside A, D, and M)</x:v>
      </x:c>
      <x:c r="D26" s="15" t="str">
        <x:v>Tao &amp; Cho, 2020</x:v>
      </x:c>
      <x:c r="E26" s="15" t="str">
        <x:v>10.3390/foods9081026</x:v>
      </x:c>
      <x:c r="F26" s="15" t="str">
        <x:v>6-7</x:v>
      </x:c>
      <x:c r="G26" s="15" t="str">
        <x:v>Results</x:v>
      </x:c>
      <x:c r="H26" s="15" t="str">
        <x:v>未执行SweetSeek问答检索（防止冻结前测试泄漏）；来源文件位于本地甜味文献库。</x:v>
      </x:c>
      <x:c r="I26" s="15" t="str">
        <x:v>The bitterness of Reb A persisted after 5 s (intensity = 3.5). ... Reb A was close to metallic, bitter, and chemical.</x:v>
      </x:c>
      <x:c r="J26" s="15" t="str">
        <x:v>C07-A6</x:v>
      </x:c>
      <x:c r="K26" s="15" t="str">
        <x:v>限制条件</x:v>
      </x:c>
      <x:c r="L26" s="15" t="str">
        <x:v>/Users/jackieren/Desktop/FCN_SweetSeek/SweetSeek_paper_database/sweetness/papers/Tao和Cho - 2020 - Consumer-Based Sensory Characterization of Steviol Glycosides (Rebaudioside A, D, and M).pdf</x:v>
      </x:c>
      <x:c r="M26" s="17" t="str">
        <x:v>待核对</x:v>
      </x:c>
      <x:c r="N26" s="15" t="str">
        <x:v>不同基质的风险提示，不能替代豆乳产品的直接验证。</x:v>
      </x:c>
    </x:row>
    <x:row r="27" ht="94" customHeight="1">
      <x:c r="A27" s="22" t="str">
        <x:v>E023</x:v>
      </x:c>
      <x:c r="B27" s="22" t="str">
        <x:v>C08</x:v>
      </x:c>
      <x:c r="C27" s="15" t="str">
        <x:v>Intense Sweeteners, Taste Receptors and the Gut Microbiome: A Metabolic Health Perspective</x:v>
      </x:c>
      <x:c r="D27" s="15" t="str">
        <x:v>Turner et al., 2020</x:v>
      </x:c>
      <x:c r="E27" s="15" t="str">
        <x:v>10.3390/ijerph17114094</x:v>
      </x:c>
      <x:c r="F27" s="15" t="str">
        <x:v>8</x:v>
      </x:c>
      <x:c r="G27" s="15" t="str">
        <x:v>Review: gastrointestinal hormones</x:v>
      </x:c>
      <x:c r="H27" s="15" t="str">
        <x:v>未执行SweetSeek问答检索（防止冻结前测试泄漏）；来源文件位于本地甜味文献库。</x:v>
      </x:c>
      <x:c r="I27" s="15" t="str">
        <x:v>Overall, there is conflicting evidence from human trials regarding the effects of IS on the secretion of gastrointestinal hormones and the potential involvement of extra-oral taste receptors. ... So far, this idea has been demonstrated in cell and mouse models, but not reliably replicated in human studies.</x:v>
      </x:c>
      <x:c r="J27" s="15" t="str">
        <x:v>C08-A1; C08-A3</x:v>
      </x:c>
      <x:c r="K27" s="15" t="str">
        <x:v>限制条件</x:v>
      </x:c>
      <x:c r="L27" s="15" t="str">
        <x:v>/Users/jackieren/Desktop/FCN_SweetSeek/SweetSeek_paper_database/sweetness/papers/Turner 等 - 2020 - Intense Sweeteners, Taste Receptors and the Gut Microbiome A Metabolic Health Perspective.pdf</x:v>
      </x:c>
      <x:c r="M27" s="17" t="str">
        <x:v>待核对</x:v>
      </x:c>
      <x:c r="N27" s="15" t="str">
        <x:v>IS=intense sweeteners。</x:v>
      </x:c>
    </x:row>
    <x:row r="28" ht="94" customHeight="1">
      <x:c r="A28" s="22" t="str">
        <x:v>E024</x:v>
      </x:c>
      <x:c r="B28" s="22" t="str">
        <x:v>C08</x:v>
      </x:c>
      <x:c r="C28" s="15" t="str">
        <x:v>The role of the gut sweet taste receptor in regulating GLP-1, PYY, and CCK release in humans</x:v>
      </x:c>
      <x:c r="D28" s="15" t="str">
        <x:v>Gerspach et al., 2011</x:v>
      </x:c>
      <x:c r="E28" s="15" t="str">
        <x:v>10.1152/ajpendo.00077.2011</x:v>
      </x:c>
      <x:c r="F28" s="15" t="str">
        <x:v>1</x:v>
      </x:c>
      <x:c r="G28" s="15" t="str">
        <x:v>Abstract</x:v>
      </x:c>
      <x:c r="H28" s="15" t="str">
        <x:v>未执行SweetSeek问答检索（防止冻结前测试泄漏）；来源文件位于本地甜味文献库。</x:v>
      </x:c>
      <x:c r="I28" s="15" t="str">
        <x:v>We conclude that T1R2/T1R3 is involved in glucose-dependent secretion of satiation peptides. However, the results of the liquid meal-stimulated parts show that the receptor alone is not responsible for peptide secretion.</x:v>
      </x:c>
      <x:c r="J28" s="15" t="str">
        <x:v>C08-A2</x:v>
      </x:c>
      <x:c r="K28" s="15" t="str">
        <x:v>直接支持</x:v>
      </x:c>
      <x:c r="L28" s="15" t="str">
        <x:v>/Users/jackieren/Desktop/FCN_SweetSeek/SweetSeek_paper_database/sweetness/papers/Gerspach 等 - 2011 - The role of the gut sweet taste receptor in regulating GLP-1, PYY, and CCK release in humans.pdf</x:v>
      </x:c>
      <x:c r="M28" s="17" t="str">
        <x:v>待核对</x:v>
      </x:c>
      <x:c r="N28" s="15"/>
    </x:row>
    <x:row r="29" ht="94" customHeight="1">
      <x:c r="A29" s="22" t="str">
        <x:v>E025</x:v>
      </x:c>
      <x:c r="B29" s="22" t="str">
        <x:v>C08</x:v>
      </x:c>
      <x:c r="C29" s="15" t="str">
        <x:v>A 12-week randomized clinical trial investigating the potential for sucralose to affect glucose homeostasis</x:v>
      </x:c>
      <x:c r="D29" s="15" t="str">
        <x:v>Grotz et al., 2017</x:v>
      </x:c>
      <x:c r="E29" s="15" t="str">
        <x:v>10.1016/j.yrtph.2017.05.011</x:v>
      </x:c>
      <x:c r="F29" s="15" t="str">
        <x:v>4</x:v>
      </x:c>
      <x:c r="G29" s="15" t="str">
        <x:v>Abstract</x:v>
      </x:c>
      <x:c r="H29" s="15" t="str">
        <x:v>未执行SweetSeek问答检索（防止冻结前测试泄漏）；来源文件位于本地甜味文献库。</x:v>
      </x:c>
      <x:c r="I29" s="15" t="str">
        <x:v>Normoglycemic male volunteers (47) consumed ~333.3 mg encapsulated sucralose or placebo 3x/day at mealtimes. ... No statistically significant differences between sucralose and placebo groups in change from baseline for fasting glucose, insulin, C-peptide and HbA1c.</x:v>
      </x:c>
      <x:c r="J29" s="15" t="str">
        <x:v>C08-A4; C08-A5</x:v>
      </x:c>
      <x:c r="K29" s="15" t="str">
        <x:v>补充支持</x:v>
      </x:c>
      <x:c r="L29" s="15" t="str">
        <x:v>/Users/jackieren/Desktop/FCN_SweetSeek/SweetSeek_paper_database/sweetness/papers/Grotz 等 - 2017 - A 12-week randomized clinical trial investigating the potential for sucralose to affect glucose home.pdf</x:v>
      </x:c>
      <x:c r="M29" s="17" t="str">
        <x:v>待核对</x:v>
      </x:c>
      <x:c r="N29" s="15" t="str">
        <x:v>只支持特定人群、剂量和时长。</x:v>
      </x:c>
    </x:row>
  </x:sheetData>
  <x:mergeCells>
    <x:mergeCell ref="A1:N1"/>
    <x:mergeCell ref="A2:N2"/>
  </x:mergeCells>
  <x:dataValidations count="2">
    <x:dataValidation type="list" sqref="K5:K29">
      <x:formula1>"直接支持,补充支持,限制条件,冲突证据"</x:formula1>
    </x:dataValidation>
    <x:dataValidation type="list" sqref="M5:M29">
      <x:formula1>"待核对,已核对,需修订,不采用"</x:formula1>
    </x:dataValidation>
  </x:dataValidations>
  <x:pageMargins left="0.7" right="0.7" top="0.75" bottom="0.75" header="0.3" footer="0.3"/>
  <x:tableParts count="1">
    <x:tablePart xmlns:r="http://schemas.openxmlformats.org/officeDocument/2006/relationships" r:id="Rd8f7181904764016"/>
  </x:tableParts>
</x:worksheet>
</file>

<file path=xl/worksheets/sheet3.xml><?xml version="1.0" encoding="utf-8"?>
<x:worksheet xmlns:x="http://schemas.openxmlformats.org/spreadsheetml/2006/main">
  <x:sheetPr>
    <x:tabColor rgb="FFD97706"/>
  </x:sheetPr>
  <x:sheetViews>
    <x:sheetView showGridLines="0" workbookViewId="0">
      <x:pane ySplit="4" topLeftCell="A5" activePane="bottomLeft" state="frozen"/>
    </x:sheetView>
  </x:sheetViews>
  <x:sheetFormatPr defaultRowHeight="15"/>
  <x:cols>
    <x:col min="1" max="1" width="18" hidden="0" customWidth="1"/>
    <x:col min="2" max="2" width="14" hidden="0" customWidth="1"/>
    <x:col min="3" max="3" width="3" hidden="0" customWidth="1"/>
    <x:col min="4" max="4" width="25" hidden="0" customWidth="1"/>
    <x:col min="5" max="5" width="14" hidden="0" customWidth="1"/>
    <x:col min="6" max="6" width="3" hidden="0" customWidth="1"/>
    <x:col min="7" max="7" width="28" hidden="0" customWidth="1"/>
    <x:col min="8" max="8" width="14" hidden="0" customWidth="1"/>
  </x:cols>
  <x:sheetData>
    <x:row r="1" ht="30" customHeight="1">
      <x:c r="A1" s="3" t="str">
        <x:v>SweetSeek 黄金测试集候选进度</x:v>
      </x:c>
      <x:c r="B1" s="3"/>
      <x:c r="C1" s="3"/>
      <x:c r="D1" s="3"/>
      <x:c r="E1" s="3"/>
      <x:c r="F1" s="3"/>
      <x:c r="G1" s="3"/>
      <x:c r="H1" s="3"/>
    </x:row>
    <x:row r="2" ht="34" customHeight="1">
      <x:c r="A2" s="7" t="str">
        <x:v>本页由候选题审核表和证据来源表自动汇总。只有人工审核为“通过”的题目，才可在后续步骤写入冻结测试集。</x:v>
      </x:c>
      <x:c r="B2" s="7"/>
      <x:c r="C2" s="7"/>
      <x:c r="D2" s="7"/>
      <x:c r="E2" s="7"/>
      <x:c r="F2" s="7"/>
      <x:c r="G2" s="7"/>
      <x:c r="H2" s="7"/>
    </x:row>
    <x:row r="4">
      <x:c r="A4" s="25" t="str">
        <x:v>核心指标</x:v>
      </x:c>
      <x:c r="B4" s="25" t="str">
        <x:v>数量</x:v>
      </x:c>
      <x:c r="C4" s="23"/>
      <x:c r="D4" s="27" t="str">
        <x:v>按题型</x:v>
      </x:c>
      <x:c r="E4" s="27" t="str">
        <x:v>数量</x:v>
      </x:c>
      <x:c r="F4" s="23"/>
      <x:c r="G4" s="29" t="str">
        <x:v>按主题</x:v>
      </x:c>
      <x:c r="H4" s="29" t="str">
        <x:v>数量</x:v>
      </x:c>
    </x:row>
    <x:row r="5">
      <x:c r="A5" s="34" t="str">
        <x:v>候选题总数</x:v>
      </x:c>
      <x:c r="B5" s="39" t="n">
        <x:f>COUNTA('候选题审核'!$A$5:$A$24)</x:f>
        <x:v>20</x:v>
      </x:c>
      <x:c r="C5" s="23"/>
      <x:c r="D5" s="34" t="str">
        <x:v>事实型</x:v>
      </x:c>
      <x:c r="E5" s="34" t="n">
        <x:f>COUNTIF('候选题审核'!$C$5:$C$24,"事实型")</x:f>
        <x:v>4</x:v>
      </x:c>
      <x:c r="F5" s="23"/>
      <x:c r="G5" s="34" t="str">
        <x:v>甜味化合物与理化性质</x:v>
      </x:c>
      <x:c r="H5" s="34" t="n">
        <x:f>COUNTIF('候选题审核'!$D$5:$D$24,"甜味化合物与理化性质")</x:f>
        <x:v>3</x:v>
      </x:c>
    </x:row>
    <x:row r="6">
      <x:c r="A6" s="34" t="str">
        <x:v>人工通过</x:v>
      </x:c>
      <x:c r="B6" s="39" t="n">
        <x:f>COUNTIF('候选题审核'!$L$5:$L$24,"通过")</x:f>
        <x:v>0</x:v>
      </x:c>
      <x:c r="C6" s="23"/>
      <x:c r="D6" s="34" t="str">
        <x:v>比较型</x:v>
      </x:c>
      <x:c r="E6" s="34" t="n">
        <x:f>COUNTIF('候选题审核'!$C$5:$C$24,"比较型")</x:f>
        <x:v>4</x:v>
      </x:c>
      <x:c r="F6" s="23"/>
      <x:c r="G6" s="34" t="str">
        <x:v>甜味受体与分子机制</x:v>
      </x:c>
      <x:c r="H6" s="34" t="n">
        <x:f>COUNTIF('候选题审核'!$D$5:$D$24,"甜味受体与分子机制")</x:f>
        <x:v>3</x:v>
      </x:c>
    </x:row>
    <x:row r="7">
      <x:c r="A7" s="34" t="str">
        <x:v>需修改</x:v>
      </x:c>
      <x:c r="B7" s="39" t="n">
        <x:f>COUNTIF('候选题审核'!$L$5:$L$24,"需修改")</x:f>
        <x:v>0</x:v>
      </x:c>
      <x:c r="C7" s="23"/>
      <x:c r="D7" s="34" t="str">
        <x:v>机制型</x:v>
      </x:c>
      <x:c r="E7" s="34" t="n">
        <x:f>COUNTIF('候选题审核'!$C$5:$C$24,"机制型")</x:f>
        <x:v>4</x:v>
      </x:c>
      <x:c r="F7" s="23"/>
      <x:c r="G7" s="34" t="str">
        <x:v>感官评价与味觉相互作用</x:v>
      </x:c>
      <x:c r="H7" s="34" t="n">
        <x:f>COUNTIF('候选题审核'!$D$5:$D$24,"感官评价与味觉相互作用")</x:f>
        <x:v>4</x:v>
      </x:c>
    </x:row>
    <x:row r="8">
      <x:c r="A8" s="34" t="str">
        <x:v>排除</x:v>
      </x:c>
      <x:c r="B8" s="39" t="n">
        <x:f>COUNTIF('候选题审核'!$L$5:$L$24,"排除")</x:f>
        <x:v>0</x:v>
      </x:c>
      <x:c r="C8" s="23"/>
      <x:c r="D8" s="34" t="str">
        <x:v>综合/应用型</x:v>
      </x:c>
      <x:c r="E8" s="34" t="n">
        <x:f>COUNTIF('候选题审核'!$C$5:$C$24,"综合/应用型")</x:f>
        <x:v>4</x:v>
      </x:c>
      <x:c r="F8" s="23"/>
      <x:c r="G8" s="34" t="str">
        <x:v>加工、稳定性与配方</x:v>
      </x:c>
      <x:c r="H8" s="34" t="n">
        <x:f>COUNTIF('候选题审核'!$D$5:$D$24,"加工、稳定性与配方")</x:f>
        <x:v>5</x:v>
      </x:c>
    </x:row>
    <x:row r="9">
      <x:c r="A9" s="34" t="str">
        <x:v>待审核</x:v>
      </x:c>
      <x:c r="B9" s="39" t="n">
        <x:f>COUNTIF('候选题审核'!$L$5:$L$24,"待审核")</x:f>
        <x:v>20</x:v>
      </x:c>
      <x:c r="C9" s="23"/>
      <x:c r="D9" s="34" t="str">
        <x:v>不可回答/诱导幻觉型</x:v>
      </x:c>
      <x:c r="E9" s="34" t="n">
        <x:f>COUNTIF('候选题审核'!$C$5:$C$24,"不可回答/诱导幻觉型")</x:f>
        <x:v>4</x:v>
      </x:c>
      <x:c r="F9" s="23"/>
      <x:c r="G9" s="34" t="str">
        <x:v>代谢、营养与安全</x:v>
      </x:c>
      <x:c r="H9" s="34" t="n">
        <x:f>COUNTIF('候选题审核'!$D$5:$D$24,"代谢、营养与安全")</x:f>
        <x:v>5</x:v>
      </x:c>
    </x:row>
    <x:row r="10">
      <x:c r="A10" s="34" t="str">
        <x:v>应拒答题</x:v>
      </x:c>
      <x:c r="B10" s="39" t="n">
        <x:f>COUNTIF('候选题审核'!$I$5:$I$24,"是")</x:f>
        <x:v>4</x:v>
      </x:c>
      <x:c r="C10" s="23"/>
      <x:c r="D10" s="23"/>
      <x:c r="E10" s="23"/>
      <x:c r="F10" s="23"/>
      <x:c r="G10" s="23"/>
      <x:c r="H10" s="23"/>
    </x:row>
    <x:row r="11">
      <x:c r="A11" s="34" t="str">
        <x:v>证据原文行数</x:v>
      </x:c>
      <x:c r="B11" s="39" t="n">
        <x:f>COUNTA('证据来源'!$A$5:$A$29)</x:f>
        <x:v>25</x:v>
      </x:c>
      <x:c r="C11" s="23"/>
      <x:c r="D11" s="23"/>
      <x:c r="E11" s="23"/>
      <x:c r="F11" s="23"/>
      <x:c r="G11" s="23"/>
      <x:c r="H11" s="23"/>
    </x:row>
    <x:row r="12">
      <x:c r="A12" s="23"/>
      <x:c r="B12" s="40"/>
      <x:c r="C12" s="23"/>
      <x:c r="D12" s="23"/>
      <x:c r="E12" s="23"/>
      <x:c r="F12" s="23"/>
      <x:c r="G12" s="23"/>
      <x:c r="H12" s="23"/>
    </x:row>
    <x:row r="13">
      <x:c r="A13" s="23"/>
      <x:c r="B13" s="40"/>
      <x:c r="C13" s="23"/>
      <x:c r="D13" s="23"/>
      <x:c r="E13" s="23"/>
      <x:c r="F13" s="23"/>
      <x:c r="G13" s="23"/>
      <x:c r="H13" s="23"/>
    </x:row>
    <x:row r="14">
      <x:c r="A14" s="31" t="str">
        <x:v>证据完整性检查</x:v>
      </x:c>
      <x:c r="B14" s="41" t="str">
        <x:v>数量</x:v>
      </x:c>
      <x:c r="C14" s="23"/>
      <x:c r="D14" s="33" t="str">
        <x:v>使用说明</x:v>
      </x:c>
      <x:c r="E14" s="33"/>
      <x:c r="F14" s="33"/>
      <x:c r="G14" s="33"/>
      <x:c r="H14" s="33"/>
    </x:row>
    <x:row r="15" ht="28" customHeight="1">
      <x:c r="A15" s="34" t="str">
        <x:v>缺失DOI</x:v>
      </x:c>
      <x:c r="B15" s="39" t="n">
        <x:f>COUNTBLANK('证据来源'!$E$5:$E$29)</x:f>
        <x:v>0</x:v>
      </x:c>
      <x:c r="C15" s="23"/>
      <x:c r="D15" s="38" t="str">
        <x:v>1. 在‘候选题审核’逐题判断问题、答案点和拒答边界。
2. A=简单，B=中等，C=复杂；题号按难度分组。
3. 在‘证据来源’逐行打开PDF路径，核对文章名、DOI、页码和原文。
4. 将状态改为‘通过’‘需修改’或‘排除’。
5. 仅将最终通过的题目写入 sweet_benchmark_v2.json 并冻结版本。</x:v>
      </x:c>
      <x:c r="E15" s="38"/>
      <x:c r="F15" s="38"/>
      <x:c r="G15" s="38"/>
      <x:c r="H15" s="38"/>
    </x:row>
    <x:row r="16" ht="28" customHeight="1">
      <x:c r="A16" s="34" t="str">
        <x:v>缺失PDF页码</x:v>
      </x:c>
      <x:c r="B16" s="39" t="n">
        <x:f>COUNTBLANK('证据来源'!$F$5:$F$29)</x:f>
        <x:v>0</x:v>
      </x:c>
      <x:c r="C16" s="23"/>
      <x:c r="D16" s="38"/>
      <x:c r="E16" s="38"/>
      <x:c r="F16" s="38"/>
      <x:c r="G16" s="38"/>
      <x:c r="H16" s="38"/>
    </x:row>
    <x:row r="17" ht="28" customHeight="1">
      <x:c r="A17" s="34" t="str">
        <x:v>缺失PDF核准原文</x:v>
      </x:c>
      <x:c r="B17" s="39" t="n">
        <x:f>COUNTBLANK('证据来源'!$I$5:$I$29)</x:f>
        <x:v>0</x:v>
      </x:c>
      <x:c r="C17" s="23"/>
      <x:c r="D17" s="38"/>
      <x:c r="E17" s="38"/>
      <x:c r="F17" s="38"/>
      <x:c r="G17" s="38"/>
      <x:c r="H17" s="38"/>
    </x:row>
    <x:row r="18" ht="28" customHeight="1">
      <x:c r="A18" s="34" t="str">
        <x:v>已完成人工核对</x:v>
      </x:c>
      <x:c r="B18" s="39" t="n">
        <x:f>COUNTIF('证据来源'!$M$5:$M$29,"已核对")</x:f>
        <x:v>0</x:v>
      </x:c>
      <x:c r="C18" s="23"/>
      <x:c r="D18" s="38"/>
      <x:c r="E18" s="38"/>
      <x:c r="F18" s="38"/>
      <x:c r="G18" s="38"/>
      <x:c r="H18" s="38"/>
    </x:row>
    <x:row r="20">
      <x:c r="A20" s="43" t="str">
        <x:v>按难度等级</x:v>
      </x:c>
      <x:c r="B20" s="43" t="str">
        <x:v>数量</x:v>
      </x:c>
    </x:row>
    <x:row r="21">
      <x:c r="A21" s="34" t="str">
        <x:v>A（简单）</x:v>
      </x:c>
      <x:c r="B21" s="39" t="n">
        <x:f>COUNTIF('候选题审核'!$E$5:$E$24,"A（简单）")</x:f>
        <x:v>7</x:v>
      </x:c>
    </x:row>
    <x:row r="22">
      <x:c r="A22" s="34" t="str">
        <x:v>B（中等）</x:v>
      </x:c>
      <x:c r="B22" s="39" t="n">
        <x:f>COUNTIF('候选题审核'!$E$5:$E$24,"B（中等）")</x:f>
        <x:v>5</x:v>
      </x:c>
    </x:row>
    <x:row r="23">
      <x:c r="A23" s="34" t="str">
        <x:v>C（复杂）</x:v>
      </x:c>
      <x:c r="B23" s="39" t="n">
        <x:f>COUNTIF('候选题审核'!$E$5:$E$24,"C（复杂）")</x:f>
        <x:v>8</x:v>
      </x:c>
    </x:row>
  </x:sheetData>
  <x:mergeCells>
    <x:mergeCell ref="A1:H1"/>
    <x:mergeCell ref="A2:H2"/>
    <x:mergeCell ref="D14:H14"/>
    <x:mergeCell ref="D15:H18"/>
  </x:mergeCells>
  <x:pageMargins left="0.7" right="0.7" top="0.75" bottom="0.75" header="0.3" footer="0.3"/>
</x:worksheet>
</file>